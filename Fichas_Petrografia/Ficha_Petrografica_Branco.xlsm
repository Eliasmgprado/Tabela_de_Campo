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GitHub\Tabela_de_Campo\Fichas_Petrografia\"/>
    </mc:Choice>
  </mc:AlternateContent>
  <xr:revisionPtr revIDLastSave="0" documentId="13_ncr:1_{2BE545D3-51CC-4433-82E3-B8481CD7F588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Validacao" sheetId="2" r:id="rId1"/>
    <sheet name="Ficha_Petrografica" sheetId="1" r:id="rId2"/>
    <sheet name="QAPF-Vulcanicas_gf" sheetId="4" state="veryHidden" r:id="rId3"/>
    <sheet name="QAPF-Plutonicas_gf" sheetId="3" state="veryHidden" r:id="rId4"/>
    <sheet name="maficas-Ol_gf" sheetId="6" state="veryHidden" r:id="rId5"/>
    <sheet name="maficas-Hbl_gf" sheetId="7" state="veryHidden" r:id="rId6"/>
    <sheet name="maficas-OpxCpx_gf" sheetId="8" state="veryHidden" r:id="rId7"/>
    <sheet name="ultramaficas-Cpx_gf" sheetId="9" state="veryHidden" r:id="rId8"/>
    <sheet name="ultramaficas-Hbl_gf" sheetId="10" state="veryHidden" r:id="rId9"/>
  </sheets>
  <functionGroups builtInGroupCount="19"/>
  <definedNames>
    <definedName name="Amostra">Ficha_Petrografica!$B$3</definedName>
    <definedName name="Armz">Ficha_Petrografica!$E$5</definedName>
    <definedName name="Class">Ficha_Petrografica!$B$33</definedName>
    <definedName name="Compl">Ficha_Petrografica!$A$36</definedName>
    <definedName name="Cors1">Ficha_Petrografica!$F$12</definedName>
    <definedName name="Cors10">Ficha_Petrografica!$F$21</definedName>
    <definedName name="Cors11">Ficha_Petrografica!$F$22</definedName>
    <definedName name="Cors2">Ficha_Petrografica!$F$13</definedName>
    <definedName name="Cors3">Ficha_Petrografica!$F$14</definedName>
    <definedName name="Cors4">Ficha_Petrografica!$F$15</definedName>
    <definedName name="Cors5">Ficha_Petrografica!$F$16</definedName>
    <definedName name="Cors6">Ficha_Petrografica!$F$17</definedName>
    <definedName name="Cors7">Ficha_Petrografica!$F$18</definedName>
    <definedName name="Cors8">Ficha_Petrografica!$F$19</definedName>
    <definedName name="Cors9">Ficha_Petrografica!$F$20</definedName>
    <definedName name="Data">Ficha_Petrografica!$E$2</definedName>
    <definedName name="EstrutDef1">Ficha_Petrografica!$B$27</definedName>
    <definedName name="EstrutDef2">Ficha_Petrografica!$C$27</definedName>
    <definedName name="EstrutDef3">Ficha_Petrografica!$D$27</definedName>
    <definedName name="EstrutDef4">Ficha_Petrografica!$E$27</definedName>
    <definedName name="EstrutDef5">Ficha_Petrografica!$F$27</definedName>
    <definedName name="Estrutura1">Ficha_Petrografica!$B$26</definedName>
    <definedName name="Estrutura2">Ficha_Petrografica!$C$26</definedName>
    <definedName name="Estrutura3">Ficha_Petrografica!$D$26</definedName>
    <definedName name="Estrutura4">Ficha_Petrografica!$E$26</definedName>
    <definedName name="Estrutura5">Ficha_Petrografica!$F$26</definedName>
    <definedName name="FacMet1">Ficha_Petrografica!$B$30</definedName>
    <definedName name="FacMet2">Ficha_Petrografica!$C$30</definedName>
    <definedName name="FacMet3">Ficha_Petrografica!$D$30</definedName>
    <definedName name="FacMet4">Ficha_Petrografica!$E$30</definedName>
    <definedName name="FacMet5">Ficha_Petrografica!$F$30</definedName>
    <definedName name="FotoMA">Ficha_Petrografica!$A$40</definedName>
    <definedName name="FotoMINP1">Ficha_Petrografica!$A$43</definedName>
    <definedName name="FotoMINP2">Ficha_Petrografica!$A$45</definedName>
    <definedName name="FotoMINP3">Ficha_Petrografica!$A$47</definedName>
    <definedName name="FotoMINP4">Ficha_Petrografica!$A$49</definedName>
    <definedName name="FotoMINP5">Ficha_Petrografica!$A$51</definedName>
    <definedName name="FotoMINP6">Ficha_Petrografica!$A$53</definedName>
    <definedName name="FotoMINP7">Ficha_Petrografica!$A$55</definedName>
    <definedName name="FotoMINP8">Ficha_Petrografica!$A$57</definedName>
    <definedName name="FotoMINX1">Ficha_Petrografica!$D$43</definedName>
    <definedName name="FotoMINX2">Ficha_Petrografica!$D$45</definedName>
    <definedName name="FotoMINX3">Ficha_Petrografica!$D$47</definedName>
    <definedName name="FotoMINX4">Ficha_Petrografica!$D$49</definedName>
    <definedName name="FotoMINX5">Ficha_Petrografica!$D$51</definedName>
    <definedName name="FotoMINX6">Ficha_Petrografica!$D$53</definedName>
    <definedName name="FotoMINX7">Ficha_Petrografica!$D$55</definedName>
    <definedName name="FotoMINX8">Ficha_Petrografica!$D$57</definedName>
    <definedName name="Interp">Ficha_Petrografica!$A$38</definedName>
    <definedName name="Lami">Ficha_Petrografica!$C$3</definedName>
    <definedName name="Late">Ficha_Petrografica!$E$3</definedName>
    <definedName name="LegNP1">Ficha_Petrografica!$A$44</definedName>
    <definedName name="LegNP2">Ficha_Petrografica!$A$46</definedName>
    <definedName name="LegNP3">Ficha_Petrografica!$A$48</definedName>
    <definedName name="LegNP4">Ficha_Petrografica!$A$50</definedName>
    <definedName name="LegNP5">Ficha_Petrografica!$A$52</definedName>
    <definedName name="LegNP6">Ficha_Petrografica!$A$54</definedName>
    <definedName name="LegNP7">Ficha_Petrografica!$A$56</definedName>
    <definedName name="LegNP8">Ficha_Petrografica!$A$58</definedName>
    <definedName name="LegNX1">Ficha_Petrografica!$D$44</definedName>
    <definedName name="LegNX2">Ficha_Petrografica!$D$46</definedName>
    <definedName name="LegNX3">Ficha_Petrografica!$D$48</definedName>
    <definedName name="LegNX4">Ficha_Petrografica!$D$50</definedName>
    <definedName name="LegNX5">Ficha_Petrografica!$D$52</definedName>
    <definedName name="LegNX6">Ficha_Petrografica!$D$54</definedName>
    <definedName name="LegNX7">Ficha_Petrografica!$D$56</definedName>
    <definedName name="LegNX8">Ficha_Petrografica!$D$58</definedName>
    <definedName name="Long">Ficha_Petrografica!$E$4</definedName>
    <definedName name="Macro">Ficha_Petrografica!$A$8</definedName>
    <definedName name="Mine1">Ficha_Petrografica!$A$12</definedName>
    <definedName name="Mine10">Ficha_Petrografica!$A$21</definedName>
    <definedName name="Mine11">Ficha_Petrografica!$A$22</definedName>
    <definedName name="Mine2">Ficha_Petrografica!$A$13</definedName>
    <definedName name="Mine3">Ficha_Petrografica!$A$14</definedName>
    <definedName name="Mine4">Ficha_Petrografica!$A$15</definedName>
    <definedName name="Mine5">Ficha_Petrografica!$A$16</definedName>
    <definedName name="Mine6">Ficha_Petrografica!$A$14</definedName>
    <definedName name="Mine7">Ficha_Petrografica!$A$18</definedName>
    <definedName name="Mine8">Ficha_Petrografica!$A$19</definedName>
    <definedName name="Mine9">Ficha_Petrografica!$A$20</definedName>
    <definedName name="Nome">Ficha_Petrografica!$B$4</definedName>
    <definedName name="nomeTab">Validacao!$B$2:$B$7</definedName>
    <definedName name="perc">Ficha_Petrografica!$B$12:$B$22</definedName>
    <definedName name="perc1">Ficha_Petrografica!$B$12</definedName>
    <definedName name="perc10">Ficha_Petrografica!$B$21</definedName>
    <definedName name="perc11">Ficha_Petrografica!$B$22</definedName>
    <definedName name="perc2">Ficha_Petrografica!$B$13</definedName>
    <definedName name="perc3">Ficha_Petrografica!$B$14</definedName>
    <definedName name="perc4">Ficha_Petrografica!$B$15</definedName>
    <definedName name="perc5">Ficha_Petrografica!$B$16</definedName>
    <definedName name="perc6">Ficha_Petrografica!$B$14</definedName>
    <definedName name="perc7">Ficha_Petrografica!$B$18</definedName>
    <definedName name="perc8">Ficha_Petrografica!$B$19</definedName>
    <definedName name="perc9">Ficha_Petrografica!$B$20</definedName>
    <definedName name="Proj">Ficha_Petrografica!$A$3</definedName>
    <definedName name="Prot">Ficha_Petrografica!$B$32</definedName>
    <definedName name="TamMax1">Ficha_Petrografica!$E$12</definedName>
    <definedName name="TamMax10">Ficha_Petrografica!$E$21</definedName>
    <definedName name="TamMax11">Ficha_Petrografica!$E$22</definedName>
    <definedName name="TamMax2">Ficha_Petrografica!$E$13</definedName>
    <definedName name="TamMax3">Ficha_Petrografica!$E$14</definedName>
    <definedName name="TamMax4">Ficha_Petrografica!$E$15</definedName>
    <definedName name="TamMax5">Ficha_Petrografica!$E$16</definedName>
    <definedName name="TamMax6">Ficha_Petrografica!$E$17</definedName>
    <definedName name="TamMax7">Ficha_Petrografica!$E$18</definedName>
    <definedName name="TamMax8">Ficha_Petrografica!$E$19</definedName>
    <definedName name="TamMax9">Ficha_Petrografica!$E$20</definedName>
    <definedName name="TamMed1">Ficha_Petrografica!$D$12</definedName>
    <definedName name="TamMed10">Ficha_Petrografica!$D$21</definedName>
    <definedName name="TamMed11">Ficha_Petrografica!$D$22</definedName>
    <definedName name="TamMed2">Ficha_Petrografica!$D$13</definedName>
    <definedName name="TamMed3">Ficha_Petrografica!$D$14</definedName>
    <definedName name="TamMed4">Ficha_Petrografica!$D$15</definedName>
    <definedName name="TamMed5">Ficha_Petrografica!$D$16</definedName>
    <definedName name="TamMed6">Ficha_Petrografica!$D$17</definedName>
    <definedName name="TamMed7">Ficha_Petrografica!$D$18</definedName>
    <definedName name="TamMed8">Ficha_Petrografica!$D$19</definedName>
    <definedName name="TamMed9">Ficha_Petrografica!$D$20</definedName>
    <definedName name="TamMin1">Ficha_Petrografica!$C$12</definedName>
    <definedName name="TamMin10">Ficha_Petrografica!$C$21</definedName>
    <definedName name="TamMin11">Ficha_Petrografica!$C$22</definedName>
    <definedName name="TamMin2">Ficha_Petrografica!$C$13</definedName>
    <definedName name="TamMin3">Ficha_Petrografica!$C$14</definedName>
    <definedName name="TamMin4">Ficha_Petrografica!$C$15</definedName>
    <definedName name="TamMin5">Ficha_Petrografica!$C$16</definedName>
    <definedName name="TamMin6">Ficha_Petrografica!$C$17</definedName>
    <definedName name="TamMin7">Ficha_Petrografica!$C$18</definedName>
    <definedName name="TamMin8">Ficha_Petrografica!$C$19</definedName>
    <definedName name="TamMin9">Ficha_Petrografica!$C$20</definedName>
    <definedName name="Textura1">Ficha_Petrografica!$B$25</definedName>
    <definedName name="Textura2">Ficha_Petrografica!$C$25</definedName>
    <definedName name="Textura3">Ficha_Petrografica!$D$25</definedName>
    <definedName name="Textura4">Ficha_Petrografica!$E$25</definedName>
    <definedName name="Textura5">Ficha_Petrografica!$F$25</definedName>
    <definedName name="TipoMet1">Ficha_Petrografica!$B$29</definedName>
    <definedName name="TipoMet2">Ficha_Petrografica!$C$29</definedName>
    <definedName name="TipoMet3">Ficha_Petrografica!$D$29</definedName>
    <definedName name="TipoMet4">Ficha_Petrografica!$E$29</definedName>
    <definedName name="TipoMet5">Ficha_Petrografica!$F$29</definedName>
    <definedName name="Topo">Ficha_Petrografica!$B$6</definedName>
    <definedName name="TpSec">Ficha_Petrografica!$B$5</definedName>
    <definedName name="Und">Ficha_Petrografica!$B$34</definedName>
    <definedName name="unidade">estratTab[UNIDADE ESTRATIGRÁFICA]</definedName>
    <definedName name="ZonaHid1">Ficha_Petrografica!$B$28</definedName>
    <definedName name="ZonaHid2">Ficha_Petrografica!$C$28</definedName>
    <definedName name="ZonaHid3">Ficha_Petrografica!$D$28</definedName>
    <definedName name="ZonaHid4">Ficha_Petrografica!$E$28</definedName>
    <definedName name="ZonaHid5">Ficha_Petrografica!$F$28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" i="10" l="1"/>
  <c r="N4" i="10" s="1"/>
  <c r="J4" i="10"/>
  <c r="L4" i="10"/>
  <c r="M5" i="10"/>
  <c r="N5" i="10" s="1"/>
  <c r="J5" i="10"/>
  <c r="L5" i="10"/>
  <c r="M6" i="10"/>
  <c r="O6" i="10" s="1"/>
  <c r="J6" i="10"/>
  <c r="L6" i="10"/>
  <c r="M7" i="10"/>
  <c r="J7" i="10"/>
  <c r="L7" i="10"/>
  <c r="M8" i="10"/>
  <c r="O8" i="10" s="1"/>
  <c r="J8" i="10"/>
  <c r="L8" i="10"/>
  <c r="M9" i="10"/>
  <c r="J9" i="10"/>
  <c r="L9" i="10"/>
  <c r="M10" i="10"/>
  <c r="J10" i="10"/>
  <c r="L10" i="10"/>
  <c r="O10" i="10"/>
  <c r="M11" i="10"/>
  <c r="J11" i="10"/>
  <c r="L11" i="10"/>
  <c r="M12" i="10"/>
  <c r="J12" i="10"/>
  <c r="L12" i="10"/>
  <c r="M13" i="10"/>
  <c r="O13" i="10" s="1"/>
  <c r="J13" i="10"/>
  <c r="L13" i="10"/>
  <c r="M14" i="10"/>
  <c r="J14" i="10"/>
  <c r="L14" i="10"/>
  <c r="N14" i="10" s="1"/>
  <c r="M15" i="10"/>
  <c r="O15" i="10" s="1"/>
  <c r="J15" i="10"/>
  <c r="L15" i="10"/>
  <c r="M16" i="10"/>
  <c r="N16" i="10" s="1"/>
  <c r="J16" i="10"/>
  <c r="L16" i="10"/>
  <c r="M17" i="10"/>
  <c r="J17" i="10"/>
  <c r="L17" i="10"/>
  <c r="M18" i="10"/>
  <c r="O18" i="10" s="1"/>
  <c r="J18" i="10"/>
  <c r="L18" i="10"/>
  <c r="M19" i="10"/>
  <c r="N19" i="10" s="1"/>
  <c r="J19" i="10"/>
  <c r="L19" i="10"/>
  <c r="M20" i="10"/>
  <c r="O20" i="10" s="1"/>
  <c r="J20" i="10"/>
  <c r="L20" i="10"/>
  <c r="M21" i="10"/>
  <c r="J21" i="10"/>
  <c r="L21" i="10"/>
  <c r="M22" i="10"/>
  <c r="O22" i="10" s="1"/>
  <c r="J22" i="10"/>
  <c r="L22" i="10"/>
  <c r="M23" i="10"/>
  <c r="J23" i="10"/>
  <c r="L23" i="10"/>
  <c r="M24" i="10"/>
  <c r="J24" i="10"/>
  <c r="N24" i="10" s="1"/>
  <c r="L24" i="10"/>
  <c r="M3" i="10"/>
  <c r="O3" i="10" s="1"/>
  <c r="J3" i="10"/>
  <c r="L3" i="10"/>
  <c r="M4" i="9"/>
  <c r="O4" i="9" s="1"/>
  <c r="J4" i="9"/>
  <c r="L4" i="9"/>
  <c r="M5" i="9"/>
  <c r="O5" i="9" s="1"/>
  <c r="J5" i="9"/>
  <c r="L5" i="9"/>
  <c r="N5" i="9" s="1"/>
  <c r="M6" i="9"/>
  <c r="N6" i="9" s="1"/>
  <c r="J6" i="9"/>
  <c r="L6" i="9"/>
  <c r="M7" i="9"/>
  <c r="N7" i="9" s="1"/>
  <c r="J7" i="9"/>
  <c r="L7" i="9"/>
  <c r="M8" i="9"/>
  <c r="O8" i="9" s="1"/>
  <c r="J8" i="9"/>
  <c r="L8" i="9"/>
  <c r="M9" i="9"/>
  <c r="J9" i="9"/>
  <c r="L9" i="9"/>
  <c r="M10" i="9"/>
  <c r="O10" i="9" s="1"/>
  <c r="J10" i="9"/>
  <c r="L10" i="9"/>
  <c r="M11" i="9"/>
  <c r="J11" i="9"/>
  <c r="L11" i="9"/>
  <c r="M12" i="9"/>
  <c r="J12" i="9"/>
  <c r="L12" i="9"/>
  <c r="O12" i="9"/>
  <c r="M13" i="9"/>
  <c r="J13" i="9"/>
  <c r="L13" i="9"/>
  <c r="M14" i="9"/>
  <c r="J14" i="9"/>
  <c r="L14" i="9"/>
  <c r="M15" i="9"/>
  <c r="O15" i="9" s="1"/>
  <c r="J15" i="9"/>
  <c r="L15" i="9"/>
  <c r="M16" i="9"/>
  <c r="O16" i="9" s="1"/>
  <c r="J16" i="9"/>
  <c r="L16" i="9"/>
  <c r="N16" i="9" s="1"/>
  <c r="M17" i="9"/>
  <c r="O17" i="9" s="1"/>
  <c r="J17" i="9"/>
  <c r="L17" i="9"/>
  <c r="M18" i="9"/>
  <c r="J18" i="9"/>
  <c r="L18" i="9"/>
  <c r="M19" i="9"/>
  <c r="J19" i="9"/>
  <c r="L19" i="9"/>
  <c r="M20" i="9"/>
  <c r="O20" i="9" s="1"/>
  <c r="J20" i="9"/>
  <c r="L20" i="9"/>
  <c r="M21" i="9"/>
  <c r="N21" i="9" s="1"/>
  <c r="J21" i="9"/>
  <c r="L21" i="9"/>
  <c r="M22" i="9"/>
  <c r="J22" i="9"/>
  <c r="L22" i="9"/>
  <c r="O22" i="9"/>
  <c r="M23" i="9"/>
  <c r="J23" i="9"/>
  <c r="L23" i="9"/>
  <c r="M24" i="9"/>
  <c r="O24" i="9" s="1"/>
  <c r="J24" i="9"/>
  <c r="L24" i="9"/>
  <c r="M3" i="9"/>
  <c r="O3" i="9" s="1"/>
  <c r="J3" i="9"/>
  <c r="L3" i="9"/>
  <c r="M24" i="8"/>
  <c r="N24" i="8" s="1"/>
  <c r="O24" i="8"/>
  <c r="M4" i="8"/>
  <c r="N4" i="8" s="1"/>
  <c r="M5" i="8"/>
  <c r="N5" i="8" s="1"/>
  <c r="M6" i="8"/>
  <c r="M7" i="8"/>
  <c r="N7" i="8"/>
  <c r="O7" i="8"/>
  <c r="M8" i="8"/>
  <c r="N8" i="8" s="1"/>
  <c r="M9" i="8"/>
  <c r="N9" i="8" s="1"/>
  <c r="O9" i="8"/>
  <c r="M10" i="8"/>
  <c r="M11" i="8"/>
  <c r="N11" i="8" s="1"/>
  <c r="M12" i="8"/>
  <c r="N12" i="8" s="1"/>
  <c r="M13" i="8"/>
  <c r="N13" i="8" s="1"/>
  <c r="M14" i="8"/>
  <c r="M15" i="8"/>
  <c r="N15" i="8" s="1"/>
  <c r="M16" i="8"/>
  <c r="N16" i="8" s="1"/>
  <c r="M17" i="8"/>
  <c r="N17" i="8" s="1"/>
  <c r="M18" i="8"/>
  <c r="M19" i="8"/>
  <c r="N19" i="8" s="1"/>
  <c r="M20" i="8"/>
  <c r="N20" i="8" s="1"/>
  <c r="M21" i="8"/>
  <c r="N21" i="8" s="1"/>
  <c r="O21" i="8"/>
  <c r="M22" i="8"/>
  <c r="M23" i="8"/>
  <c r="N23" i="8" s="1"/>
  <c r="O23" i="8"/>
  <c r="M3" i="8"/>
  <c r="O3" i="8" s="1"/>
  <c r="J3" i="8"/>
  <c r="L3" i="8"/>
  <c r="M4" i="7"/>
  <c r="O4" i="7" s="1"/>
  <c r="M5" i="7"/>
  <c r="N5" i="7" s="1"/>
  <c r="M6" i="7"/>
  <c r="O6" i="7" s="1"/>
  <c r="M7" i="7"/>
  <c r="O7" i="7" s="1"/>
  <c r="M8" i="7"/>
  <c r="O8" i="7" s="1"/>
  <c r="M9" i="7"/>
  <c r="N9" i="7" s="1"/>
  <c r="O9" i="7"/>
  <c r="M10" i="7"/>
  <c r="O10" i="7" s="1"/>
  <c r="M11" i="7"/>
  <c r="O11" i="7" s="1"/>
  <c r="M12" i="7"/>
  <c r="O12" i="7" s="1"/>
  <c r="N12" i="7"/>
  <c r="M13" i="7"/>
  <c r="N13" i="7" s="1"/>
  <c r="M14" i="7"/>
  <c r="O14" i="7" s="1"/>
  <c r="N14" i="7"/>
  <c r="M15" i="7"/>
  <c r="O15" i="7" s="1"/>
  <c r="N15" i="7"/>
  <c r="M16" i="7"/>
  <c r="O16" i="7" s="1"/>
  <c r="M17" i="7"/>
  <c r="N17" i="7" s="1"/>
  <c r="M18" i="7"/>
  <c r="O18" i="7" s="1"/>
  <c r="N18" i="7"/>
  <c r="M19" i="7"/>
  <c r="O19" i="7" s="1"/>
  <c r="M20" i="7"/>
  <c r="O20" i="7" s="1"/>
  <c r="M21" i="7"/>
  <c r="N21" i="7" s="1"/>
  <c r="M22" i="7"/>
  <c r="O22" i="7" s="1"/>
  <c r="M23" i="7"/>
  <c r="O23" i="7" s="1"/>
  <c r="M24" i="7"/>
  <c r="O24" i="7" s="1"/>
  <c r="M3" i="7"/>
  <c r="O3" i="7" s="1"/>
  <c r="J3" i="7"/>
  <c r="L3" i="7"/>
  <c r="N3" i="7"/>
  <c r="M4" i="6"/>
  <c r="N4" i="6"/>
  <c r="O4" i="6"/>
  <c r="M5" i="6"/>
  <c r="N5" i="6" s="1"/>
  <c r="M6" i="6"/>
  <c r="O6" i="6" s="1"/>
  <c r="N6" i="6"/>
  <c r="M7" i="6"/>
  <c r="M8" i="6"/>
  <c r="N8" i="6" s="1"/>
  <c r="O8" i="6"/>
  <c r="M9" i="6"/>
  <c r="N9" i="6"/>
  <c r="O9" i="6"/>
  <c r="M10" i="6"/>
  <c r="O10" i="6" s="1"/>
  <c r="M11" i="6"/>
  <c r="N11" i="6" s="1"/>
  <c r="M12" i="6"/>
  <c r="N12" i="6" s="1"/>
  <c r="M13" i="6"/>
  <c r="N13" i="6"/>
  <c r="O13" i="6"/>
  <c r="M14" i="6"/>
  <c r="O14" i="6" s="1"/>
  <c r="M15" i="6"/>
  <c r="N15" i="6" s="1"/>
  <c r="M16" i="6"/>
  <c r="N16" i="6" s="1"/>
  <c r="M17" i="6"/>
  <c r="N17" i="6" s="1"/>
  <c r="M18" i="6"/>
  <c r="O18" i="6" s="1"/>
  <c r="N18" i="6"/>
  <c r="M19" i="6"/>
  <c r="N19" i="6" s="1"/>
  <c r="O19" i="6"/>
  <c r="M20" i="6"/>
  <c r="N20" i="6" s="1"/>
  <c r="M21" i="6"/>
  <c r="N21" i="6" s="1"/>
  <c r="M22" i="6"/>
  <c r="O22" i="6" s="1"/>
  <c r="M23" i="6"/>
  <c r="N23" i="6" s="1"/>
  <c r="M24" i="6"/>
  <c r="N24" i="6" s="1"/>
  <c r="O24" i="6"/>
  <c r="M3" i="6"/>
  <c r="O3" i="6" s="1"/>
  <c r="J3" i="6"/>
  <c r="L3" i="6"/>
  <c r="M22" i="3"/>
  <c r="N22" i="3" s="1"/>
  <c r="M23" i="3"/>
  <c r="M24" i="3"/>
  <c r="N24" i="3" s="1"/>
  <c r="M4" i="3"/>
  <c r="N4" i="3" s="1"/>
  <c r="M5" i="3"/>
  <c r="N5" i="3" s="1"/>
  <c r="M6" i="3"/>
  <c r="M7" i="3"/>
  <c r="N7" i="3" s="1"/>
  <c r="M8" i="3"/>
  <c r="N8" i="3" s="1"/>
  <c r="M9" i="3"/>
  <c r="N9" i="3" s="1"/>
  <c r="M10" i="3"/>
  <c r="M11" i="3"/>
  <c r="N11" i="3" s="1"/>
  <c r="O11" i="3"/>
  <c r="M12" i="3"/>
  <c r="N12" i="3" s="1"/>
  <c r="M13" i="3"/>
  <c r="N13" i="3" s="1"/>
  <c r="M14" i="3"/>
  <c r="M15" i="3"/>
  <c r="N15" i="3" s="1"/>
  <c r="M16" i="3"/>
  <c r="N16" i="3" s="1"/>
  <c r="M17" i="3"/>
  <c r="N17" i="3" s="1"/>
  <c r="O17" i="3"/>
  <c r="M18" i="3"/>
  <c r="N18" i="3" s="1"/>
  <c r="M19" i="3"/>
  <c r="N19" i="3" s="1"/>
  <c r="M20" i="3"/>
  <c r="N20" i="3" s="1"/>
  <c r="O20" i="3"/>
  <c r="M21" i="3"/>
  <c r="N21" i="3" s="1"/>
  <c r="M3" i="3"/>
  <c r="J3" i="3"/>
  <c r="O3" i="3"/>
  <c r="L3" i="3"/>
  <c r="M4" i="4"/>
  <c r="O4" i="4" s="1"/>
  <c r="M5" i="4"/>
  <c r="N5" i="4" s="1"/>
  <c r="M6" i="4"/>
  <c r="O6" i="4" s="1"/>
  <c r="M7" i="4"/>
  <c r="O7" i="4" s="1"/>
  <c r="M8" i="4"/>
  <c r="O8" i="4" s="1"/>
  <c r="M9" i="4"/>
  <c r="N9" i="4" s="1"/>
  <c r="O9" i="4"/>
  <c r="M10" i="4"/>
  <c r="O10" i="4" s="1"/>
  <c r="N10" i="4"/>
  <c r="M11" i="4"/>
  <c r="O11" i="4" s="1"/>
  <c r="M12" i="4"/>
  <c r="O12" i="4" s="1"/>
  <c r="M13" i="4"/>
  <c r="N13" i="4" s="1"/>
  <c r="M14" i="4"/>
  <c r="O14" i="4" s="1"/>
  <c r="N14" i="4"/>
  <c r="M15" i="4"/>
  <c r="O15" i="4" s="1"/>
  <c r="M16" i="4"/>
  <c r="O16" i="4" s="1"/>
  <c r="M17" i="4"/>
  <c r="N17" i="4" s="1"/>
  <c r="M18" i="4"/>
  <c r="O18" i="4" s="1"/>
  <c r="N18" i="4"/>
  <c r="M19" i="4"/>
  <c r="O19" i="4" s="1"/>
  <c r="M20" i="4"/>
  <c r="O20" i="4" s="1"/>
  <c r="M21" i="4"/>
  <c r="N21" i="4" s="1"/>
  <c r="M22" i="4"/>
  <c r="O22" i="4" s="1"/>
  <c r="N22" i="4"/>
  <c r="M23" i="4"/>
  <c r="O23" i="4" s="1"/>
  <c r="M24" i="4"/>
  <c r="O24" i="4" s="1"/>
  <c r="N24" i="4"/>
  <c r="M3" i="4"/>
  <c r="O3" i="4" s="1"/>
  <c r="J3" i="4"/>
  <c r="L3" i="4"/>
  <c r="N3" i="4"/>
  <c r="K3" i="4"/>
  <c r="J4" i="4"/>
  <c r="K4" i="4"/>
  <c r="L4" i="4"/>
  <c r="J5" i="4"/>
  <c r="K5" i="4"/>
  <c r="L5" i="4"/>
  <c r="J6" i="4"/>
  <c r="K6" i="4"/>
  <c r="L6" i="4"/>
  <c r="J7" i="4"/>
  <c r="K7" i="4"/>
  <c r="L7" i="4"/>
  <c r="J8" i="4"/>
  <c r="K8" i="4"/>
  <c r="L8" i="4"/>
  <c r="J9" i="4"/>
  <c r="K9" i="4"/>
  <c r="L9" i="4"/>
  <c r="J10" i="4"/>
  <c r="K10" i="4"/>
  <c r="L10" i="4"/>
  <c r="J11" i="4"/>
  <c r="K11" i="4"/>
  <c r="L11" i="4"/>
  <c r="J12" i="4"/>
  <c r="K12" i="4"/>
  <c r="L12" i="4"/>
  <c r="J13" i="4"/>
  <c r="K13" i="4"/>
  <c r="L13" i="4"/>
  <c r="J14" i="4"/>
  <c r="K14" i="4"/>
  <c r="L14" i="4"/>
  <c r="J15" i="4"/>
  <c r="K15" i="4"/>
  <c r="L15" i="4"/>
  <c r="J16" i="4"/>
  <c r="K16" i="4"/>
  <c r="L16" i="4"/>
  <c r="J17" i="4"/>
  <c r="K17" i="4"/>
  <c r="L17" i="4"/>
  <c r="J18" i="4"/>
  <c r="K18" i="4"/>
  <c r="L18" i="4"/>
  <c r="J19" i="4"/>
  <c r="K19" i="4"/>
  <c r="L19" i="4"/>
  <c r="J20" i="4"/>
  <c r="K20" i="4"/>
  <c r="L20" i="4"/>
  <c r="J21" i="4"/>
  <c r="K21" i="4"/>
  <c r="L21" i="4"/>
  <c r="J22" i="4"/>
  <c r="K22" i="4"/>
  <c r="L22" i="4"/>
  <c r="J23" i="4"/>
  <c r="K23" i="4"/>
  <c r="L23" i="4"/>
  <c r="J24" i="4"/>
  <c r="K24" i="4"/>
  <c r="L24" i="4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3" i="8"/>
  <c r="J4" i="8"/>
  <c r="K4" i="8"/>
  <c r="L4" i="8"/>
  <c r="J5" i="8"/>
  <c r="K5" i="8"/>
  <c r="L5" i="8"/>
  <c r="J6" i="8"/>
  <c r="K6" i="8"/>
  <c r="L6" i="8"/>
  <c r="J7" i="8"/>
  <c r="K7" i="8"/>
  <c r="L7" i="8"/>
  <c r="J8" i="8"/>
  <c r="K8" i="8"/>
  <c r="L8" i="8"/>
  <c r="J9" i="8"/>
  <c r="K9" i="8"/>
  <c r="L9" i="8"/>
  <c r="J10" i="8"/>
  <c r="K10" i="8"/>
  <c r="L10" i="8"/>
  <c r="J11" i="8"/>
  <c r="K11" i="8"/>
  <c r="L11" i="8"/>
  <c r="J12" i="8"/>
  <c r="K12" i="8"/>
  <c r="L12" i="8"/>
  <c r="J13" i="8"/>
  <c r="K13" i="8"/>
  <c r="L13" i="8"/>
  <c r="J14" i="8"/>
  <c r="K14" i="8"/>
  <c r="L14" i="8"/>
  <c r="J15" i="8"/>
  <c r="K15" i="8"/>
  <c r="L15" i="8"/>
  <c r="J16" i="8"/>
  <c r="K16" i="8"/>
  <c r="L16" i="8"/>
  <c r="J17" i="8"/>
  <c r="K17" i="8"/>
  <c r="L17" i="8"/>
  <c r="J18" i="8"/>
  <c r="K18" i="8"/>
  <c r="L18" i="8"/>
  <c r="J19" i="8"/>
  <c r="K19" i="8"/>
  <c r="L19" i="8"/>
  <c r="J20" i="8"/>
  <c r="K20" i="8"/>
  <c r="L20" i="8"/>
  <c r="J21" i="8"/>
  <c r="K21" i="8"/>
  <c r="L21" i="8"/>
  <c r="J22" i="8"/>
  <c r="K22" i="8"/>
  <c r="L22" i="8"/>
  <c r="J23" i="8"/>
  <c r="K23" i="8"/>
  <c r="L23" i="8"/>
  <c r="J24" i="8"/>
  <c r="K24" i="8"/>
  <c r="L24" i="8"/>
  <c r="K3" i="7"/>
  <c r="J4" i="7"/>
  <c r="K4" i="7"/>
  <c r="L4" i="7"/>
  <c r="J5" i="7"/>
  <c r="K5" i="7"/>
  <c r="L5" i="7"/>
  <c r="J6" i="7"/>
  <c r="K6" i="7"/>
  <c r="L6" i="7"/>
  <c r="J7" i="7"/>
  <c r="K7" i="7"/>
  <c r="L7" i="7"/>
  <c r="J8" i="7"/>
  <c r="K8" i="7"/>
  <c r="L8" i="7"/>
  <c r="J9" i="7"/>
  <c r="K9" i="7"/>
  <c r="L9" i="7"/>
  <c r="J10" i="7"/>
  <c r="K10" i="7"/>
  <c r="L10" i="7"/>
  <c r="J11" i="7"/>
  <c r="K11" i="7"/>
  <c r="L11" i="7"/>
  <c r="J12" i="7"/>
  <c r="K12" i="7"/>
  <c r="L12" i="7"/>
  <c r="J13" i="7"/>
  <c r="K13" i="7"/>
  <c r="L13" i="7"/>
  <c r="J14" i="7"/>
  <c r="K14" i="7"/>
  <c r="L14" i="7"/>
  <c r="J15" i="7"/>
  <c r="K15" i="7"/>
  <c r="L15" i="7"/>
  <c r="J16" i="7"/>
  <c r="K16" i="7"/>
  <c r="L16" i="7"/>
  <c r="J17" i="7"/>
  <c r="K17" i="7"/>
  <c r="L17" i="7"/>
  <c r="J18" i="7"/>
  <c r="K18" i="7"/>
  <c r="L18" i="7"/>
  <c r="J19" i="7"/>
  <c r="K19" i="7"/>
  <c r="L19" i="7"/>
  <c r="J20" i="7"/>
  <c r="K20" i="7"/>
  <c r="L20" i="7"/>
  <c r="J21" i="7"/>
  <c r="K21" i="7"/>
  <c r="L21" i="7"/>
  <c r="J22" i="7"/>
  <c r="K22" i="7"/>
  <c r="L22" i="7"/>
  <c r="J23" i="7"/>
  <c r="K23" i="7"/>
  <c r="L23" i="7"/>
  <c r="J24" i="7"/>
  <c r="K24" i="7"/>
  <c r="L24" i="7"/>
  <c r="K3" i="6"/>
  <c r="J4" i="6"/>
  <c r="K4" i="6"/>
  <c r="L4" i="6"/>
  <c r="J5" i="6"/>
  <c r="K5" i="6"/>
  <c r="L5" i="6"/>
  <c r="J6" i="6"/>
  <c r="K6" i="6"/>
  <c r="L6" i="6"/>
  <c r="J7" i="6"/>
  <c r="K7" i="6"/>
  <c r="L7" i="6"/>
  <c r="J8" i="6"/>
  <c r="K8" i="6"/>
  <c r="L8" i="6"/>
  <c r="J9" i="6"/>
  <c r="K9" i="6"/>
  <c r="L9" i="6"/>
  <c r="J10" i="6"/>
  <c r="K10" i="6"/>
  <c r="L10" i="6"/>
  <c r="J11" i="6"/>
  <c r="K11" i="6"/>
  <c r="L11" i="6"/>
  <c r="J12" i="6"/>
  <c r="K12" i="6"/>
  <c r="L12" i="6"/>
  <c r="J13" i="6"/>
  <c r="K13" i="6"/>
  <c r="L13" i="6"/>
  <c r="J14" i="6"/>
  <c r="K14" i="6"/>
  <c r="L14" i="6"/>
  <c r="J15" i="6"/>
  <c r="K15" i="6"/>
  <c r="L15" i="6"/>
  <c r="J16" i="6"/>
  <c r="K16" i="6"/>
  <c r="L16" i="6"/>
  <c r="J17" i="6"/>
  <c r="K17" i="6"/>
  <c r="L17" i="6"/>
  <c r="J18" i="6"/>
  <c r="K18" i="6"/>
  <c r="L18" i="6"/>
  <c r="J19" i="6"/>
  <c r="K19" i="6"/>
  <c r="L19" i="6"/>
  <c r="J20" i="6"/>
  <c r="K20" i="6"/>
  <c r="L20" i="6"/>
  <c r="J21" i="6"/>
  <c r="K21" i="6"/>
  <c r="L21" i="6"/>
  <c r="J22" i="6"/>
  <c r="K22" i="6"/>
  <c r="L22" i="6"/>
  <c r="J23" i="6"/>
  <c r="K23" i="6"/>
  <c r="L23" i="6"/>
  <c r="J24" i="6"/>
  <c r="K24" i="6"/>
  <c r="L24" i="6"/>
  <c r="K3" i="3"/>
  <c r="J4" i="3"/>
  <c r="K4" i="3"/>
  <c r="L4" i="3"/>
  <c r="J5" i="3"/>
  <c r="K5" i="3"/>
  <c r="L5" i="3"/>
  <c r="J6" i="3"/>
  <c r="K6" i="3"/>
  <c r="L6" i="3"/>
  <c r="J7" i="3"/>
  <c r="K7" i="3"/>
  <c r="L7" i="3"/>
  <c r="J8" i="3"/>
  <c r="K8" i="3"/>
  <c r="L8" i="3"/>
  <c r="J9" i="3"/>
  <c r="K9" i="3"/>
  <c r="L9" i="3"/>
  <c r="J10" i="3"/>
  <c r="K10" i="3"/>
  <c r="L10" i="3"/>
  <c r="J11" i="3"/>
  <c r="K11" i="3"/>
  <c r="L11" i="3"/>
  <c r="J12" i="3"/>
  <c r="K12" i="3"/>
  <c r="L12" i="3"/>
  <c r="J13" i="3"/>
  <c r="K13" i="3"/>
  <c r="L13" i="3"/>
  <c r="J14" i="3"/>
  <c r="K14" i="3"/>
  <c r="L14" i="3"/>
  <c r="J15" i="3"/>
  <c r="K15" i="3"/>
  <c r="L15" i="3"/>
  <c r="J16" i="3"/>
  <c r="K16" i="3"/>
  <c r="L16" i="3"/>
  <c r="J17" i="3"/>
  <c r="K17" i="3"/>
  <c r="L17" i="3"/>
  <c r="J18" i="3"/>
  <c r="K18" i="3"/>
  <c r="L18" i="3"/>
  <c r="J19" i="3"/>
  <c r="K19" i="3"/>
  <c r="L19" i="3"/>
  <c r="J20" i="3"/>
  <c r="K20" i="3"/>
  <c r="L20" i="3"/>
  <c r="J21" i="3"/>
  <c r="K21" i="3"/>
  <c r="L21" i="3"/>
  <c r="J22" i="3"/>
  <c r="K22" i="3"/>
  <c r="L22" i="3"/>
  <c r="J23" i="3"/>
  <c r="K23" i="3"/>
  <c r="L23" i="3"/>
  <c r="J24" i="3"/>
  <c r="K24" i="3"/>
  <c r="L24" i="3"/>
  <c r="M59" i="10"/>
  <c r="M58" i="10"/>
  <c r="L58" i="10"/>
  <c r="K58" i="10"/>
  <c r="J58" i="10"/>
  <c r="M57" i="10"/>
  <c r="N57" i="10" s="1"/>
  <c r="L57" i="10"/>
  <c r="K57" i="10"/>
  <c r="J57" i="10"/>
  <c r="M56" i="10"/>
  <c r="O56" i="10" s="1"/>
  <c r="J56" i="10"/>
  <c r="L56" i="10"/>
  <c r="K56" i="10"/>
  <c r="M55" i="10"/>
  <c r="J55" i="10"/>
  <c r="L55" i="10"/>
  <c r="K55" i="10"/>
  <c r="M54" i="10"/>
  <c r="O54" i="10" s="1"/>
  <c r="J54" i="10"/>
  <c r="L54" i="10"/>
  <c r="K54" i="10"/>
  <c r="M53" i="10"/>
  <c r="L53" i="10"/>
  <c r="K53" i="10"/>
  <c r="J53" i="10"/>
  <c r="M52" i="10"/>
  <c r="J52" i="10"/>
  <c r="O52" i="10" s="1"/>
  <c r="L52" i="10"/>
  <c r="K52" i="10"/>
  <c r="M51" i="10"/>
  <c r="L51" i="10"/>
  <c r="K51" i="10"/>
  <c r="J51" i="10"/>
  <c r="M50" i="10"/>
  <c r="J50" i="10"/>
  <c r="L50" i="10"/>
  <c r="K50" i="10"/>
  <c r="M49" i="10"/>
  <c r="L49" i="10"/>
  <c r="K49" i="10"/>
  <c r="J49" i="10"/>
  <c r="O49" i="10" s="1"/>
  <c r="M48" i="10"/>
  <c r="N48" i="10" s="1"/>
  <c r="J48" i="10"/>
  <c r="L48" i="10"/>
  <c r="K48" i="10"/>
  <c r="M47" i="10"/>
  <c r="L47" i="10"/>
  <c r="K47" i="10"/>
  <c r="J47" i="10"/>
  <c r="M46" i="10"/>
  <c r="L46" i="10"/>
  <c r="K46" i="10"/>
  <c r="J46" i="10"/>
  <c r="O46" i="10" s="1"/>
  <c r="M45" i="10"/>
  <c r="L45" i="10"/>
  <c r="K45" i="10"/>
  <c r="J45" i="10"/>
  <c r="M44" i="10"/>
  <c r="O44" i="10" s="1"/>
  <c r="J44" i="10"/>
  <c r="L44" i="10"/>
  <c r="K44" i="10"/>
  <c r="M43" i="10"/>
  <c r="L43" i="10"/>
  <c r="K43" i="10"/>
  <c r="J43" i="10"/>
  <c r="N43" i="10" s="1"/>
  <c r="M42" i="10"/>
  <c r="O42" i="10" s="1"/>
  <c r="J42" i="10"/>
  <c r="L42" i="10"/>
  <c r="K42" i="10"/>
  <c r="M41" i="10"/>
  <c r="O41" i="10" s="1"/>
  <c r="J41" i="10"/>
  <c r="L41" i="10"/>
  <c r="K41" i="10"/>
  <c r="M40" i="10"/>
  <c r="L40" i="10"/>
  <c r="K40" i="10"/>
  <c r="J40" i="10"/>
  <c r="M39" i="10"/>
  <c r="J39" i="10"/>
  <c r="L39" i="10"/>
  <c r="K39" i="10"/>
  <c r="M38" i="10"/>
  <c r="L38" i="10"/>
  <c r="K38" i="10"/>
  <c r="J38" i="10"/>
  <c r="M37" i="10"/>
  <c r="O37" i="10" s="1"/>
  <c r="J37" i="10"/>
  <c r="L37" i="10"/>
  <c r="K37" i="10"/>
  <c r="M36" i="10"/>
  <c r="L36" i="10"/>
  <c r="K36" i="10"/>
  <c r="J36" i="10"/>
  <c r="M35" i="10"/>
  <c r="L35" i="10"/>
  <c r="K35" i="10"/>
  <c r="J35" i="10"/>
  <c r="O35" i="10" s="1"/>
  <c r="M34" i="10"/>
  <c r="O34" i="10" s="1"/>
  <c r="L34" i="10"/>
  <c r="K34" i="10"/>
  <c r="J34" i="10"/>
  <c r="M33" i="10"/>
  <c r="L33" i="10"/>
  <c r="K33" i="10"/>
  <c r="J33" i="10"/>
  <c r="O33" i="10" s="1"/>
  <c r="M32" i="10"/>
  <c r="L32" i="10"/>
  <c r="K32" i="10"/>
  <c r="J32" i="10"/>
  <c r="N32" i="10" s="1"/>
  <c r="M31" i="10"/>
  <c r="L31" i="10"/>
  <c r="K31" i="10"/>
  <c r="J31" i="10"/>
  <c r="M30" i="10"/>
  <c r="L30" i="10"/>
  <c r="K30" i="10"/>
  <c r="J30" i="10"/>
  <c r="M29" i="10"/>
  <c r="L29" i="10"/>
  <c r="K29" i="10"/>
  <c r="J29" i="10"/>
  <c r="N29" i="10" s="1"/>
  <c r="M28" i="10"/>
  <c r="N28" i="10" s="1"/>
  <c r="L28" i="10"/>
  <c r="K28" i="10"/>
  <c r="J28" i="10"/>
  <c r="M27" i="10"/>
  <c r="L27" i="10"/>
  <c r="K27" i="10"/>
  <c r="J27" i="10"/>
  <c r="O27" i="10" s="1"/>
  <c r="M26" i="10"/>
  <c r="L26" i="10"/>
  <c r="K26" i="10"/>
  <c r="J26" i="10"/>
  <c r="N26" i="10" s="1"/>
  <c r="M25" i="10"/>
  <c r="L25" i="10"/>
  <c r="K25" i="10"/>
  <c r="J25" i="10"/>
  <c r="M59" i="9"/>
  <c r="M58" i="9"/>
  <c r="N58" i="9" s="1"/>
  <c r="J58" i="9"/>
  <c r="L58" i="9"/>
  <c r="K58" i="9"/>
  <c r="M57" i="9"/>
  <c r="L57" i="9"/>
  <c r="K57" i="9"/>
  <c r="J57" i="9"/>
  <c r="M56" i="9"/>
  <c r="O56" i="9" s="1"/>
  <c r="J56" i="9"/>
  <c r="L56" i="9"/>
  <c r="K56" i="9"/>
  <c r="M55" i="9"/>
  <c r="J55" i="9"/>
  <c r="N55" i="9" s="1"/>
  <c r="L55" i="9"/>
  <c r="K55" i="9"/>
  <c r="M54" i="9"/>
  <c r="J54" i="9"/>
  <c r="O54" i="9" s="1"/>
  <c r="L54" i="9"/>
  <c r="K54" i="9"/>
  <c r="M53" i="9"/>
  <c r="L53" i="9"/>
  <c r="K53" i="9"/>
  <c r="J53" i="9"/>
  <c r="M52" i="9"/>
  <c r="O52" i="9" s="1"/>
  <c r="J52" i="9"/>
  <c r="L52" i="9"/>
  <c r="K52" i="9"/>
  <c r="M51" i="9"/>
  <c r="N51" i="9" s="1"/>
  <c r="J51" i="9"/>
  <c r="L51" i="9"/>
  <c r="K51" i="9"/>
  <c r="M50" i="9"/>
  <c r="J50" i="9"/>
  <c r="O50" i="9" s="1"/>
  <c r="L50" i="9"/>
  <c r="K50" i="9"/>
  <c r="M49" i="9"/>
  <c r="J49" i="9"/>
  <c r="O49" i="9"/>
  <c r="L49" i="9"/>
  <c r="K49" i="9"/>
  <c r="M48" i="9"/>
  <c r="O48" i="9" s="1"/>
  <c r="J48" i="9"/>
  <c r="L48" i="9"/>
  <c r="K48" i="9"/>
  <c r="M47" i="9"/>
  <c r="L47" i="9"/>
  <c r="K47" i="9"/>
  <c r="J47" i="9"/>
  <c r="M46" i="9"/>
  <c r="N46" i="9" s="1"/>
  <c r="J46" i="9"/>
  <c r="L46" i="9"/>
  <c r="K46" i="9"/>
  <c r="M45" i="9"/>
  <c r="L45" i="9"/>
  <c r="K45" i="9"/>
  <c r="J45" i="9"/>
  <c r="M44" i="9"/>
  <c r="L44" i="9"/>
  <c r="K44" i="9"/>
  <c r="J44" i="9"/>
  <c r="O44" i="9" s="1"/>
  <c r="M43" i="9"/>
  <c r="L43" i="9"/>
  <c r="K43" i="9"/>
  <c r="J43" i="9"/>
  <c r="M42" i="9"/>
  <c r="O42" i="9" s="1"/>
  <c r="J42" i="9"/>
  <c r="L42" i="9"/>
  <c r="K42" i="9"/>
  <c r="M41" i="9"/>
  <c r="O41" i="9" s="1"/>
  <c r="J41" i="9"/>
  <c r="L41" i="9"/>
  <c r="K41" i="9"/>
  <c r="M40" i="9"/>
  <c r="O40" i="9" s="1"/>
  <c r="L40" i="9"/>
  <c r="K40" i="9"/>
  <c r="J40" i="9"/>
  <c r="M39" i="9"/>
  <c r="J39" i="9"/>
  <c r="L39" i="9"/>
  <c r="K39" i="9"/>
  <c r="M38" i="9"/>
  <c r="L38" i="9"/>
  <c r="K38" i="9"/>
  <c r="J38" i="9"/>
  <c r="M37" i="9"/>
  <c r="J37" i="9"/>
  <c r="L37" i="9"/>
  <c r="K37" i="9"/>
  <c r="M36" i="9"/>
  <c r="L36" i="9"/>
  <c r="K36" i="9"/>
  <c r="J36" i="9"/>
  <c r="O36" i="9" s="1"/>
  <c r="M35" i="9"/>
  <c r="J35" i="9"/>
  <c r="L35" i="9"/>
  <c r="K35" i="9"/>
  <c r="M34" i="9"/>
  <c r="L34" i="9"/>
  <c r="K34" i="9"/>
  <c r="J34" i="9"/>
  <c r="M33" i="9"/>
  <c r="J33" i="9"/>
  <c r="O33" i="9" s="1"/>
  <c r="L33" i="9"/>
  <c r="K33" i="9"/>
  <c r="M32" i="9"/>
  <c r="L32" i="9"/>
  <c r="K32" i="9"/>
  <c r="J32" i="9"/>
  <c r="N32" i="9" s="1"/>
  <c r="M31" i="9"/>
  <c r="J31" i="9"/>
  <c r="L31" i="9"/>
  <c r="K31" i="9"/>
  <c r="M30" i="9"/>
  <c r="O30" i="9" s="1"/>
  <c r="L30" i="9"/>
  <c r="K30" i="9"/>
  <c r="J30" i="9"/>
  <c r="M29" i="9"/>
  <c r="J29" i="9"/>
  <c r="L29" i="9"/>
  <c r="K29" i="9"/>
  <c r="M28" i="9"/>
  <c r="O28" i="9" s="1"/>
  <c r="L28" i="9"/>
  <c r="K28" i="9"/>
  <c r="J28" i="9"/>
  <c r="M27" i="9"/>
  <c r="J27" i="9"/>
  <c r="L27" i="9"/>
  <c r="K27" i="9"/>
  <c r="M26" i="9"/>
  <c r="O26" i="9" s="1"/>
  <c r="L26" i="9"/>
  <c r="K26" i="9"/>
  <c r="J26" i="9"/>
  <c r="N26" i="9" s="1"/>
  <c r="M25" i="9"/>
  <c r="N25" i="9" s="1"/>
  <c r="J25" i="9"/>
  <c r="L25" i="9"/>
  <c r="K25" i="9"/>
  <c r="N53" i="9"/>
  <c r="N53" i="10"/>
  <c r="N33" i="9"/>
  <c r="O34" i="9"/>
  <c r="N47" i="9"/>
  <c r="O36" i="10"/>
  <c r="N36" i="10"/>
  <c r="N50" i="9"/>
  <c r="O43" i="10"/>
  <c r="O45" i="10"/>
  <c r="O53" i="10"/>
  <c r="O30" i="10"/>
  <c r="O32" i="10"/>
  <c r="N58" i="10"/>
  <c r="N33" i="10"/>
  <c r="N38" i="10"/>
  <c r="N39" i="10"/>
  <c r="M58" i="8"/>
  <c r="O58" i="8" s="1"/>
  <c r="L58" i="8"/>
  <c r="K58" i="8"/>
  <c r="J58" i="8"/>
  <c r="M57" i="8"/>
  <c r="J57" i="8"/>
  <c r="L57" i="8"/>
  <c r="K57" i="8"/>
  <c r="M56" i="8"/>
  <c r="J56" i="8"/>
  <c r="L56" i="8"/>
  <c r="N56" i="8"/>
  <c r="K56" i="8"/>
  <c r="M55" i="8"/>
  <c r="J55" i="8"/>
  <c r="L55" i="8"/>
  <c r="N55" i="8"/>
  <c r="K55" i="8"/>
  <c r="M54" i="8"/>
  <c r="O54" i="8" s="1"/>
  <c r="J54" i="8"/>
  <c r="L54" i="8"/>
  <c r="K54" i="8"/>
  <c r="M53" i="8"/>
  <c r="J53" i="8"/>
  <c r="L53" i="8"/>
  <c r="K53" i="8"/>
  <c r="M52" i="8"/>
  <c r="J52" i="8"/>
  <c r="L52" i="8"/>
  <c r="K52" i="8"/>
  <c r="M51" i="8"/>
  <c r="O51" i="8" s="1"/>
  <c r="J51" i="8"/>
  <c r="L51" i="8"/>
  <c r="N51" i="8"/>
  <c r="K51" i="8"/>
  <c r="M50" i="8"/>
  <c r="O50" i="8" s="1"/>
  <c r="J50" i="8"/>
  <c r="L50" i="8"/>
  <c r="N50" i="8"/>
  <c r="K50" i="8"/>
  <c r="M49" i="8"/>
  <c r="O49" i="8" s="1"/>
  <c r="J49" i="8"/>
  <c r="L49" i="8"/>
  <c r="K49" i="8"/>
  <c r="M48" i="8"/>
  <c r="J48" i="8"/>
  <c r="L48" i="8"/>
  <c r="K48" i="8"/>
  <c r="M47" i="8"/>
  <c r="J47" i="8"/>
  <c r="N47" i="8" s="1"/>
  <c r="L47" i="8"/>
  <c r="K47" i="8"/>
  <c r="M46" i="8"/>
  <c r="O46" i="8" s="1"/>
  <c r="J46" i="8"/>
  <c r="L46" i="8"/>
  <c r="K46" i="8"/>
  <c r="M45" i="8"/>
  <c r="O45" i="8" s="1"/>
  <c r="J45" i="8"/>
  <c r="L45" i="8"/>
  <c r="N45" i="8"/>
  <c r="K45" i="8"/>
  <c r="M44" i="8"/>
  <c r="J44" i="8"/>
  <c r="L44" i="8"/>
  <c r="K44" i="8"/>
  <c r="M43" i="8"/>
  <c r="J43" i="8"/>
  <c r="N43" i="8" s="1"/>
  <c r="L43" i="8"/>
  <c r="K43" i="8"/>
  <c r="M42" i="8"/>
  <c r="L42" i="8"/>
  <c r="K42" i="8"/>
  <c r="J42" i="8"/>
  <c r="O42" i="8" s="1"/>
  <c r="M41" i="8"/>
  <c r="J41" i="8"/>
  <c r="L41" i="8"/>
  <c r="K41" i="8"/>
  <c r="M40" i="8"/>
  <c r="O40" i="8" s="1"/>
  <c r="L40" i="8"/>
  <c r="K40" i="8"/>
  <c r="J40" i="8"/>
  <c r="M39" i="8"/>
  <c r="J39" i="8"/>
  <c r="O39" i="8" s="1"/>
  <c r="L39" i="8"/>
  <c r="N39" i="8" s="1"/>
  <c r="K39" i="8"/>
  <c r="M38" i="8"/>
  <c r="L38" i="8"/>
  <c r="K38" i="8"/>
  <c r="J38" i="8"/>
  <c r="M37" i="8"/>
  <c r="J37" i="8"/>
  <c r="L37" i="8"/>
  <c r="K37" i="8"/>
  <c r="M36" i="8"/>
  <c r="L36" i="8"/>
  <c r="K36" i="8"/>
  <c r="J36" i="8"/>
  <c r="M35" i="8"/>
  <c r="O35" i="8" s="1"/>
  <c r="J35" i="8"/>
  <c r="L35" i="8"/>
  <c r="N35" i="8"/>
  <c r="K35" i="8"/>
  <c r="M34" i="8"/>
  <c r="L34" i="8"/>
  <c r="K34" i="8"/>
  <c r="J34" i="8"/>
  <c r="O34" i="8"/>
  <c r="M33" i="8"/>
  <c r="J33" i="8"/>
  <c r="L33" i="8"/>
  <c r="K33" i="8"/>
  <c r="M32" i="8"/>
  <c r="J32" i="8"/>
  <c r="L32" i="8"/>
  <c r="K32" i="8"/>
  <c r="M31" i="8"/>
  <c r="J31" i="8"/>
  <c r="L31" i="8"/>
  <c r="K31" i="8"/>
  <c r="M30" i="8"/>
  <c r="J30" i="8"/>
  <c r="L30" i="8"/>
  <c r="K30" i="8"/>
  <c r="M29" i="8"/>
  <c r="L29" i="8"/>
  <c r="K29" i="8"/>
  <c r="J29" i="8"/>
  <c r="O29" i="8" s="1"/>
  <c r="M28" i="8"/>
  <c r="J28" i="8"/>
  <c r="L28" i="8"/>
  <c r="K28" i="8"/>
  <c r="M27" i="8"/>
  <c r="O27" i="8" s="1"/>
  <c r="J27" i="8"/>
  <c r="L27" i="8"/>
  <c r="K27" i="8"/>
  <c r="M26" i="8"/>
  <c r="O26" i="8" s="1"/>
  <c r="J26" i="8"/>
  <c r="L26" i="8"/>
  <c r="K26" i="8"/>
  <c r="M25" i="8"/>
  <c r="J25" i="8"/>
  <c r="L25" i="8"/>
  <c r="K25" i="8"/>
  <c r="M58" i="7"/>
  <c r="O58" i="7" s="1"/>
  <c r="J58" i="7"/>
  <c r="L58" i="7"/>
  <c r="K58" i="7"/>
  <c r="M57" i="7"/>
  <c r="O57" i="7" s="1"/>
  <c r="J57" i="7"/>
  <c r="L57" i="7"/>
  <c r="K57" i="7"/>
  <c r="M56" i="7"/>
  <c r="O56" i="7" s="1"/>
  <c r="J56" i="7"/>
  <c r="L56" i="7"/>
  <c r="K56" i="7"/>
  <c r="M55" i="7"/>
  <c r="J55" i="7"/>
  <c r="L55" i="7"/>
  <c r="K55" i="7"/>
  <c r="M54" i="7"/>
  <c r="J54" i="7"/>
  <c r="O54" i="7"/>
  <c r="L54" i="7"/>
  <c r="K54" i="7"/>
  <c r="M53" i="7"/>
  <c r="O53" i="7" s="1"/>
  <c r="J53" i="7"/>
  <c r="L53" i="7"/>
  <c r="K53" i="7"/>
  <c r="M52" i="7"/>
  <c r="J52" i="7"/>
  <c r="L52" i="7"/>
  <c r="K52" i="7"/>
  <c r="M51" i="7"/>
  <c r="J51" i="7"/>
  <c r="L51" i="7"/>
  <c r="K51" i="7"/>
  <c r="M50" i="7"/>
  <c r="O50" i="7" s="1"/>
  <c r="J50" i="7"/>
  <c r="L50" i="7"/>
  <c r="K50" i="7"/>
  <c r="M49" i="7"/>
  <c r="N49" i="7" s="1"/>
  <c r="J49" i="7"/>
  <c r="L49" i="7"/>
  <c r="K49" i="7"/>
  <c r="M48" i="7"/>
  <c r="J48" i="7"/>
  <c r="L48" i="7"/>
  <c r="K48" i="7"/>
  <c r="M47" i="7"/>
  <c r="J47" i="7"/>
  <c r="O47" i="7"/>
  <c r="L47" i="7"/>
  <c r="K47" i="7"/>
  <c r="M46" i="7"/>
  <c r="J46" i="7"/>
  <c r="L46" i="7"/>
  <c r="N46" i="7"/>
  <c r="K46" i="7"/>
  <c r="M45" i="7"/>
  <c r="N45" i="7" s="1"/>
  <c r="J45" i="7"/>
  <c r="L45" i="7"/>
  <c r="K45" i="7"/>
  <c r="M44" i="7"/>
  <c r="J44" i="7"/>
  <c r="L44" i="7"/>
  <c r="K44" i="7"/>
  <c r="M43" i="7"/>
  <c r="J43" i="7"/>
  <c r="L43" i="7"/>
  <c r="K43" i="7"/>
  <c r="M42" i="7"/>
  <c r="O42" i="7" s="1"/>
  <c r="J42" i="7"/>
  <c r="L42" i="7"/>
  <c r="K42" i="7"/>
  <c r="M41" i="7"/>
  <c r="O41" i="7" s="1"/>
  <c r="J41" i="7"/>
  <c r="L41" i="7"/>
  <c r="N41" i="7" s="1"/>
  <c r="K41" i="7"/>
  <c r="M40" i="7"/>
  <c r="N40" i="7" s="1"/>
  <c r="J40" i="7"/>
  <c r="L40" i="7"/>
  <c r="K40" i="7"/>
  <c r="M39" i="7"/>
  <c r="J39" i="7"/>
  <c r="N39" i="7" s="1"/>
  <c r="L39" i="7"/>
  <c r="K39" i="7"/>
  <c r="M38" i="7"/>
  <c r="J38" i="7"/>
  <c r="L38" i="7"/>
  <c r="N38" i="7"/>
  <c r="K38" i="7"/>
  <c r="M37" i="7"/>
  <c r="O37" i="7" s="1"/>
  <c r="J37" i="7"/>
  <c r="L37" i="7"/>
  <c r="K37" i="7"/>
  <c r="M36" i="7"/>
  <c r="O36" i="7" s="1"/>
  <c r="J36" i="7"/>
  <c r="L36" i="7"/>
  <c r="N36" i="7"/>
  <c r="K36" i="7"/>
  <c r="M35" i="7"/>
  <c r="O35" i="7" s="1"/>
  <c r="J35" i="7"/>
  <c r="L35" i="7"/>
  <c r="K35" i="7"/>
  <c r="M34" i="7"/>
  <c r="J34" i="7"/>
  <c r="L34" i="7"/>
  <c r="K34" i="7"/>
  <c r="M33" i="7"/>
  <c r="J33" i="7"/>
  <c r="O33" i="7"/>
  <c r="L33" i="7"/>
  <c r="N33" i="7" s="1"/>
  <c r="K33" i="7"/>
  <c r="M32" i="7"/>
  <c r="L32" i="7"/>
  <c r="K32" i="7"/>
  <c r="J32" i="7"/>
  <c r="M31" i="7"/>
  <c r="J31" i="7"/>
  <c r="L31" i="7"/>
  <c r="K31" i="7"/>
  <c r="M30" i="7"/>
  <c r="L30" i="7"/>
  <c r="K30" i="7"/>
  <c r="J30" i="7"/>
  <c r="N30" i="7" s="1"/>
  <c r="M29" i="7"/>
  <c r="J29" i="7"/>
  <c r="L29" i="7"/>
  <c r="K29" i="7"/>
  <c r="M28" i="7"/>
  <c r="J28" i="7"/>
  <c r="L28" i="7"/>
  <c r="K28" i="7"/>
  <c r="M27" i="7"/>
  <c r="J27" i="7"/>
  <c r="L27" i="7"/>
  <c r="K27" i="7"/>
  <c r="M26" i="7"/>
  <c r="N26" i="7" s="1"/>
  <c r="J26" i="7"/>
  <c r="L26" i="7"/>
  <c r="K26" i="7"/>
  <c r="M25" i="7"/>
  <c r="L25" i="7"/>
  <c r="K25" i="7"/>
  <c r="J25" i="7"/>
  <c r="M58" i="6"/>
  <c r="L58" i="6"/>
  <c r="K58" i="6"/>
  <c r="J58" i="6"/>
  <c r="O58" i="6" s="1"/>
  <c r="M57" i="6"/>
  <c r="N57" i="6" s="1"/>
  <c r="L57" i="6"/>
  <c r="K57" i="6"/>
  <c r="J57" i="6"/>
  <c r="M56" i="6"/>
  <c r="O56" i="6" s="1"/>
  <c r="J56" i="6"/>
  <c r="L56" i="6"/>
  <c r="K56" i="6"/>
  <c r="M55" i="6"/>
  <c r="J55" i="6"/>
  <c r="L55" i="6"/>
  <c r="K55" i="6"/>
  <c r="M54" i="6"/>
  <c r="N54" i="6" s="1"/>
  <c r="J54" i="6"/>
  <c r="L54" i="6"/>
  <c r="K54" i="6"/>
  <c r="M53" i="6"/>
  <c r="L53" i="6"/>
  <c r="K53" i="6"/>
  <c r="J53" i="6"/>
  <c r="M52" i="6"/>
  <c r="J52" i="6"/>
  <c r="L52" i="6"/>
  <c r="K52" i="6"/>
  <c r="M51" i="6"/>
  <c r="L51" i="6"/>
  <c r="K51" i="6"/>
  <c r="J51" i="6"/>
  <c r="M50" i="6"/>
  <c r="J50" i="6"/>
  <c r="L50" i="6"/>
  <c r="K50" i="6"/>
  <c r="M49" i="6"/>
  <c r="J49" i="6"/>
  <c r="L49" i="6"/>
  <c r="K49" i="6"/>
  <c r="M48" i="6"/>
  <c r="N48" i="6" s="1"/>
  <c r="J48" i="6"/>
  <c r="L48" i="6"/>
  <c r="K48" i="6"/>
  <c r="M47" i="6"/>
  <c r="L47" i="6"/>
  <c r="K47" i="6"/>
  <c r="J47" i="6"/>
  <c r="M46" i="6"/>
  <c r="J46" i="6"/>
  <c r="O46" i="6"/>
  <c r="L46" i="6"/>
  <c r="K46" i="6"/>
  <c r="M45" i="6"/>
  <c r="J45" i="6"/>
  <c r="L45" i="6"/>
  <c r="K45" i="6"/>
  <c r="M44" i="6"/>
  <c r="J44" i="6"/>
  <c r="L44" i="6"/>
  <c r="K44" i="6"/>
  <c r="M43" i="6"/>
  <c r="O43" i="6" s="1"/>
  <c r="J43" i="6"/>
  <c r="N43" i="6" s="1"/>
  <c r="L43" i="6"/>
  <c r="K43" i="6"/>
  <c r="M42" i="6"/>
  <c r="J42" i="6"/>
  <c r="O42" i="6" s="1"/>
  <c r="L42" i="6"/>
  <c r="K42" i="6"/>
  <c r="M41" i="6"/>
  <c r="L41" i="6"/>
  <c r="K41" i="6"/>
  <c r="J41" i="6"/>
  <c r="M40" i="6"/>
  <c r="N40" i="6" s="1"/>
  <c r="J40" i="6"/>
  <c r="L40" i="6"/>
  <c r="K40" i="6"/>
  <c r="M39" i="6"/>
  <c r="L39" i="6"/>
  <c r="K39" i="6"/>
  <c r="J39" i="6"/>
  <c r="M38" i="6"/>
  <c r="J38" i="6"/>
  <c r="L38" i="6"/>
  <c r="N38" i="6"/>
  <c r="K38" i="6"/>
  <c r="M37" i="6"/>
  <c r="L37" i="6"/>
  <c r="K37" i="6"/>
  <c r="J37" i="6"/>
  <c r="O37" i="6" s="1"/>
  <c r="M36" i="6"/>
  <c r="O36" i="6" s="1"/>
  <c r="J36" i="6"/>
  <c r="L36" i="6"/>
  <c r="K36" i="6"/>
  <c r="M35" i="6"/>
  <c r="O35" i="6" s="1"/>
  <c r="L35" i="6"/>
  <c r="K35" i="6"/>
  <c r="J35" i="6"/>
  <c r="M34" i="6"/>
  <c r="O34" i="6" s="1"/>
  <c r="J34" i="6"/>
  <c r="L34" i="6"/>
  <c r="K34" i="6"/>
  <c r="M33" i="6"/>
  <c r="L33" i="6"/>
  <c r="K33" i="6"/>
  <c r="J33" i="6"/>
  <c r="M32" i="6"/>
  <c r="O32" i="6" s="1"/>
  <c r="J32" i="6"/>
  <c r="L32" i="6"/>
  <c r="K32" i="6"/>
  <c r="M31" i="6"/>
  <c r="J31" i="6"/>
  <c r="N31" i="6" s="1"/>
  <c r="L31" i="6"/>
  <c r="K31" i="6"/>
  <c r="M30" i="6"/>
  <c r="N30" i="6" s="1"/>
  <c r="J30" i="6"/>
  <c r="O30" i="6"/>
  <c r="L30" i="6"/>
  <c r="K30" i="6"/>
  <c r="M29" i="6"/>
  <c r="O29" i="6" s="1"/>
  <c r="J29" i="6"/>
  <c r="L29" i="6"/>
  <c r="K29" i="6"/>
  <c r="M28" i="6"/>
  <c r="J28" i="6"/>
  <c r="L28" i="6"/>
  <c r="K28" i="6"/>
  <c r="M27" i="6"/>
  <c r="J27" i="6"/>
  <c r="O27" i="6" s="1"/>
  <c r="L27" i="6"/>
  <c r="K27" i="6"/>
  <c r="M26" i="6"/>
  <c r="J26" i="6"/>
  <c r="L26" i="6"/>
  <c r="N26" i="6" s="1"/>
  <c r="K26" i="6"/>
  <c r="M25" i="6"/>
  <c r="J25" i="6"/>
  <c r="L25" i="6"/>
  <c r="K25" i="6"/>
  <c r="N58" i="6"/>
  <c r="N33" i="6"/>
  <c r="O51" i="6"/>
  <c r="O53" i="6"/>
  <c r="O26" i="6"/>
  <c r="O33" i="8"/>
  <c r="O37" i="8"/>
  <c r="O41" i="8"/>
  <c r="O43" i="8"/>
  <c r="O53" i="8"/>
  <c r="N34" i="8"/>
  <c r="N53" i="6"/>
  <c r="N47" i="7"/>
  <c r="N57" i="7"/>
  <c r="J25" i="4"/>
  <c r="K25" i="4"/>
  <c r="L25" i="4"/>
  <c r="M25" i="4"/>
  <c r="J26" i="4"/>
  <c r="K26" i="4"/>
  <c r="L26" i="4"/>
  <c r="M26" i="4"/>
  <c r="O26" i="4"/>
  <c r="J27" i="4"/>
  <c r="K27" i="4"/>
  <c r="L27" i="4"/>
  <c r="M27" i="4"/>
  <c r="O27" i="4"/>
  <c r="J28" i="4"/>
  <c r="O28" i="4" s="1"/>
  <c r="K28" i="4"/>
  <c r="L28" i="4"/>
  <c r="M28" i="4"/>
  <c r="J29" i="4"/>
  <c r="K29" i="4"/>
  <c r="L29" i="4"/>
  <c r="M29" i="4"/>
  <c r="J30" i="4"/>
  <c r="K30" i="4"/>
  <c r="L30" i="4"/>
  <c r="M30" i="4"/>
  <c r="J31" i="4"/>
  <c r="K31" i="4"/>
  <c r="L31" i="4"/>
  <c r="M31" i="4"/>
  <c r="O31" i="4" s="1"/>
  <c r="J32" i="4"/>
  <c r="K32" i="4"/>
  <c r="L32" i="4"/>
  <c r="M32" i="4"/>
  <c r="N32" i="4" s="1"/>
  <c r="J33" i="4"/>
  <c r="K33" i="4"/>
  <c r="L33" i="4"/>
  <c r="M33" i="4"/>
  <c r="O33" i="4" s="1"/>
  <c r="J34" i="4"/>
  <c r="K34" i="4"/>
  <c r="L34" i="4"/>
  <c r="M34" i="4"/>
  <c r="O34" i="4" s="1"/>
  <c r="J35" i="4"/>
  <c r="K35" i="4"/>
  <c r="L35" i="4"/>
  <c r="M35" i="4"/>
  <c r="J36" i="4"/>
  <c r="O36" i="4" s="1"/>
  <c r="K36" i="4"/>
  <c r="L36" i="4"/>
  <c r="M36" i="4"/>
  <c r="J37" i="4"/>
  <c r="K37" i="4"/>
  <c r="L37" i="4"/>
  <c r="M37" i="4"/>
  <c r="J38" i="4"/>
  <c r="K38" i="4"/>
  <c r="L38" i="4"/>
  <c r="M38" i="4"/>
  <c r="O38" i="4" s="1"/>
  <c r="J39" i="4"/>
  <c r="K39" i="4"/>
  <c r="L39" i="4"/>
  <c r="N39" i="4" s="1"/>
  <c r="M39" i="4"/>
  <c r="O39" i="4"/>
  <c r="J40" i="4"/>
  <c r="K40" i="4"/>
  <c r="L40" i="4"/>
  <c r="M40" i="4"/>
  <c r="J41" i="4"/>
  <c r="N41" i="4" s="1"/>
  <c r="K41" i="4"/>
  <c r="L41" i="4"/>
  <c r="M41" i="4"/>
  <c r="J42" i="4"/>
  <c r="K42" i="4"/>
  <c r="L42" i="4"/>
  <c r="M42" i="4"/>
  <c r="O42" i="4" s="1"/>
  <c r="J43" i="4"/>
  <c r="K43" i="4"/>
  <c r="L43" i="4"/>
  <c r="M43" i="4"/>
  <c r="O43" i="4"/>
  <c r="J44" i="4"/>
  <c r="K44" i="4"/>
  <c r="L44" i="4"/>
  <c r="M44" i="4"/>
  <c r="N44" i="4"/>
  <c r="O44" i="4"/>
  <c r="J45" i="4"/>
  <c r="K45" i="4"/>
  <c r="L45" i="4"/>
  <c r="M45" i="4"/>
  <c r="O45" i="4" s="1"/>
  <c r="J46" i="4"/>
  <c r="K46" i="4"/>
  <c r="L46" i="4"/>
  <c r="M46" i="4"/>
  <c r="O46" i="4" s="1"/>
  <c r="J47" i="4"/>
  <c r="K47" i="4"/>
  <c r="L47" i="4"/>
  <c r="M47" i="4"/>
  <c r="J48" i="4"/>
  <c r="K48" i="4"/>
  <c r="L48" i="4"/>
  <c r="M48" i="4"/>
  <c r="O48" i="4" s="1"/>
  <c r="J49" i="4"/>
  <c r="K49" i="4"/>
  <c r="L49" i="4"/>
  <c r="M49" i="4"/>
  <c r="J50" i="4"/>
  <c r="K50" i="4"/>
  <c r="L50" i="4"/>
  <c r="M50" i="4"/>
  <c r="N50" i="4" s="1"/>
  <c r="J51" i="4"/>
  <c r="K51" i="4"/>
  <c r="L51" i="4"/>
  <c r="N51" i="4" s="1"/>
  <c r="M51" i="4"/>
  <c r="O51" i="4" s="1"/>
  <c r="J52" i="4"/>
  <c r="K52" i="4"/>
  <c r="L52" i="4"/>
  <c r="M52" i="4"/>
  <c r="O52" i="4"/>
  <c r="J53" i="4"/>
  <c r="K53" i="4"/>
  <c r="L53" i="4"/>
  <c r="M53" i="4"/>
  <c r="J54" i="4"/>
  <c r="K54" i="4"/>
  <c r="L54" i="4"/>
  <c r="M54" i="4"/>
  <c r="O54" i="4" s="1"/>
  <c r="J55" i="4"/>
  <c r="K55" i="4"/>
  <c r="L55" i="4"/>
  <c r="M55" i="4"/>
  <c r="O55" i="4"/>
  <c r="J56" i="4"/>
  <c r="K56" i="4"/>
  <c r="L56" i="4"/>
  <c r="M56" i="4"/>
  <c r="O56" i="4" s="1"/>
  <c r="J57" i="4"/>
  <c r="K57" i="4"/>
  <c r="L57" i="4"/>
  <c r="N57" i="4" s="1"/>
  <c r="M57" i="4"/>
  <c r="O57" i="4"/>
  <c r="J58" i="4"/>
  <c r="K58" i="4"/>
  <c r="L58" i="4"/>
  <c r="M58" i="4"/>
  <c r="J59" i="4"/>
  <c r="K59" i="4"/>
  <c r="L59" i="4"/>
  <c r="M59" i="4"/>
  <c r="O59" i="4" s="1"/>
  <c r="J60" i="4"/>
  <c r="K60" i="4"/>
  <c r="L60" i="4"/>
  <c r="M60" i="4"/>
  <c r="N60" i="4" s="1"/>
  <c r="M58" i="3"/>
  <c r="J58" i="3"/>
  <c r="L58" i="3"/>
  <c r="K58" i="3"/>
  <c r="M57" i="3"/>
  <c r="L57" i="3"/>
  <c r="K57" i="3"/>
  <c r="J57" i="3"/>
  <c r="M56" i="3"/>
  <c r="L56" i="3"/>
  <c r="K56" i="3"/>
  <c r="J56" i="3"/>
  <c r="M55" i="3"/>
  <c r="O55" i="3"/>
  <c r="L55" i="3"/>
  <c r="N55" i="3" s="1"/>
  <c r="K55" i="3"/>
  <c r="J55" i="3"/>
  <c r="M54" i="3"/>
  <c r="L54" i="3"/>
  <c r="K54" i="3"/>
  <c r="J54" i="3"/>
  <c r="M53" i="3"/>
  <c r="O53" i="3" s="1"/>
  <c r="L53" i="3"/>
  <c r="N53" i="3" s="1"/>
  <c r="K53" i="3"/>
  <c r="J53" i="3"/>
  <c r="M52" i="3"/>
  <c r="N52" i="3" s="1"/>
  <c r="O52" i="3"/>
  <c r="L52" i="3"/>
  <c r="K52" i="3"/>
  <c r="J52" i="3"/>
  <c r="M51" i="3"/>
  <c r="L51" i="3"/>
  <c r="K51" i="3"/>
  <c r="J51" i="3"/>
  <c r="M50" i="3"/>
  <c r="J50" i="3"/>
  <c r="L50" i="3"/>
  <c r="K50" i="3"/>
  <c r="M49" i="3"/>
  <c r="N49" i="3" s="1"/>
  <c r="L49" i="3"/>
  <c r="K49" i="3"/>
  <c r="J49" i="3"/>
  <c r="M48" i="3"/>
  <c r="L48" i="3"/>
  <c r="K48" i="3"/>
  <c r="J48" i="3"/>
  <c r="M47" i="3"/>
  <c r="L47" i="3"/>
  <c r="K47" i="3"/>
  <c r="J47" i="3"/>
  <c r="M46" i="3"/>
  <c r="O46" i="3" s="1"/>
  <c r="L46" i="3"/>
  <c r="N46" i="3"/>
  <c r="K46" i="3"/>
  <c r="J46" i="3"/>
  <c r="M45" i="3"/>
  <c r="O45" i="3"/>
  <c r="L45" i="3"/>
  <c r="N45" i="3" s="1"/>
  <c r="K45" i="3"/>
  <c r="J45" i="3"/>
  <c r="M44" i="3"/>
  <c r="L44" i="3"/>
  <c r="K44" i="3"/>
  <c r="J44" i="3"/>
  <c r="M43" i="3"/>
  <c r="O43" i="3" s="1"/>
  <c r="L43" i="3"/>
  <c r="K43" i="3"/>
  <c r="J43" i="3"/>
  <c r="M42" i="3"/>
  <c r="J42" i="3"/>
  <c r="L42" i="3"/>
  <c r="K42" i="3"/>
  <c r="M41" i="3"/>
  <c r="J41" i="3"/>
  <c r="L41" i="3"/>
  <c r="K41" i="3"/>
  <c r="M40" i="3"/>
  <c r="J40" i="3"/>
  <c r="O40" i="3"/>
  <c r="L40" i="3"/>
  <c r="K40" i="3"/>
  <c r="M39" i="3"/>
  <c r="J39" i="3"/>
  <c r="L39" i="3"/>
  <c r="K39" i="3"/>
  <c r="M38" i="3"/>
  <c r="O38" i="3" s="1"/>
  <c r="J38" i="3"/>
  <c r="L38" i="3"/>
  <c r="K38" i="3"/>
  <c r="N38" i="3"/>
  <c r="M37" i="3"/>
  <c r="J37" i="3"/>
  <c r="L37" i="3"/>
  <c r="K37" i="3"/>
  <c r="M36" i="3"/>
  <c r="J36" i="3"/>
  <c r="L36" i="3"/>
  <c r="K36" i="3"/>
  <c r="M35" i="3"/>
  <c r="J35" i="3"/>
  <c r="L35" i="3"/>
  <c r="K35" i="3"/>
  <c r="M34" i="3"/>
  <c r="J34" i="3"/>
  <c r="O34" i="3" s="1"/>
  <c r="L34" i="3"/>
  <c r="K34" i="3"/>
  <c r="M33" i="3"/>
  <c r="N33" i="3" s="1"/>
  <c r="J33" i="3"/>
  <c r="L33" i="3"/>
  <c r="K33" i="3"/>
  <c r="M32" i="3"/>
  <c r="J32" i="3"/>
  <c r="O32" i="3"/>
  <c r="L32" i="3"/>
  <c r="K32" i="3"/>
  <c r="M31" i="3"/>
  <c r="J31" i="3"/>
  <c r="N31" i="3" s="1"/>
  <c r="O31" i="3"/>
  <c r="L31" i="3"/>
  <c r="K31" i="3"/>
  <c r="M30" i="3"/>
  <c r="J30" i="3"/>
  <c r="L30" i="3"/>
  <c r="K30" i="3"/>
  <c r="M29" i="3"/>
  <c r="J29" i="3"/>
  <c r="L29" i="3"/>
  <c r="K29" i="3"/>
  <c r="M28" i="3"/>
  <c r="N28" i="3" s="1"/>
  <c r="J28" i="3"/>
  <c r="O28" i="3"/>
  <c r="L28" i="3"/>
  <c r="K28" i="3"/>
  <c r="M27" i="3"/>
  <c r="J27" i="3"/>
  <c r="O27" i="3"/>
  <c r="L27" i="3"/>
  <c r="K27" i="3"/>
  <c r="M26" i="3"/>
  <c r="J26" i="3"/>
  <c r="L26" i="3"/>
  <c r="K26" i="3"/>
  <c r="M25" i="3"/>
  <c r="N25" i="3" s="1"/>
  <c r="J25" i="3"/>
  <c r="L25" i="3"/>
  <c r="K25" i="3"/>
  <c r="N45" i="4"/>
  <c r="N41" i="3"/>
  <c r="N51" i="3"/>
  <c r="N51" i="7" l="1"/>
  <c r="N43" i="4"/>
  <c r="N27" i="4"/>
  <c r="N46" i="6"/>
  <c r="N49" i="6"/>
  <c r="N52" i="6"/>
  <c r="N43" i="7"/>
  <c r="O36" i="8"/>
  <c r="N57" i="8"/>
  <c r="O32" i="9"/>
  <c r="N54" i="9"/>
  <c r="O24" i="3"/>
  <c r="O21" i="7"/>
  <c r="N30" i="4"/>
  <c r="N50" i="3"/>
  <c r="O58" i="3"/>
  <c r="O50" i="4"/>
  <c r="N37" i="4"/>
  <c r="N35" i="4"/>
  <c r="N36" i="6"/>
  <c r="O38" i="6"/>
  <c r="O27" i="7"/>
  <c r="O30" i="7"/>
  <c r="N54" i="7"/>
  <c r="O28" i="8"/>
  <c r="N31" i="8"/>
  <c r="N42" i="8"/>
  <c r="O28" i="10"/>
  <c r="N35" i="9"/>
  <c r="N49" i="9"/>
  <c r="N35" i="10"/>
  <c r="N9" i="9"/>
  <c r="O14" i="10"/>
  <c r="N7" i="10"/>
  <c r="N26" i="3"/>
  <c r="N39" i="3"/>
  <c r="N58" i="4"/>
  <c r="N31" i="4"/>
  <c r="O60" i="4"/>
  <c r="N55" i="4"/>
  <c r="O40" i="4"/>
  <c r="N34" i="4"/>
  <c r="O31" i="6"/>
  <c r="N39" i="6"/>
  <c r="N44" i="6"/>
  <c r="N50" i="6"/>
  <c r="O25" i="7"/>
  <c r="O46" i="7"/>
  <c r="N40" i="8"/>
  <c r="O26" i="10"/>
  <c r="O38" i="9"/>
  <c r="N55" i="10"/>
  <c r="O21" i="3"/>
  <c r="O9" i="3"/>
  <c r="N7" i="7"/>
  <c r="O15" i="8"/>
  <c r="N19" i="9"/>
  <c r="N12" i="9"/>
  <c r="N8" i="9"/>
  <c r="N17" i="10"/>
  <c r="N10" i="10"/>
  <c r="N6" i="10"/>
  <c r="N37" i="7"/>
  <c r="O33" i="6"/>
  <c r="N49" i="10"/>
  <c r="N41" i="9"/>
  <c r="O58" i="9"/>
  <c r="N30" i="10"/>
  <c r="O38" i="10"/>
  <c r="O58" i="10"/>
  <c r="N15" i="4"/>
  <c r="N8" i="4"/>
  <c r="O15" i="3"/>
  <c r="O22" i="3"/>
  <c r="N22" i="6"/>
  <c r="O17" i="6"/>
  <c r="O12" i="6"/>
  <c r="N19" i="7"/>
  <c r="O13" i="7"/>
  <c r="N52" i="4"/>
  <c r="N42" i="6"/>
  <c r="N47" i="6"/>
  <c r="N25" i="7"/>
  <c r="O31" i="7"/>
  <c r="N26" i="8"/>
  <c r="N37" i="8"/>
  <c r="O48" i="8"/>
  <c r="N58" i="8"/>
  <c r="N30" i="9"/>
  <c r="O53" i="9"/>
  <c r="N41" i="10"/>
  <c r="N6" i="7"/>
  <c r="N3" i="9"/>
  <c r="N15" i="9"/>
  <c r="N4" i="9"/>
  <c r="N13" i="10"/>
  <c r="N40" i="3"/>
  <c r="N42" i="7"/>
  <c r="N48" i="9"/>
  <c r="O21" i="6"/>
  <c r="N32" i="3"/>
  <c r="N35" i="3"/>
  <c r="N54" i="4"/>
  <c r="O47" i="4"/>
  <c r="N28" i="4"/>
  <c r="O32" i="7"/>
  <c r="N34" i="7"/>
  <c r="O32" i="8"/>
  <c r="N49" i="8"/>
  <c r="N54" i="8"/>
  <c r="O29" i="10"/>
  <c r="O39" i="10"/>
  <c r="N50" i="10"/>
  <c r="O21" i="4"/>
  <c r="N6" i="4"/>
  <c r="O13" i="3"/>
  <c r="N3" i="6"/>
  <c r="O16" i="6"/>
  <c r="O11" i="6"/>
  <c r="N24" i="7"/>
  <c r="O5" i="7"/>
  <c r="O13" i="8"/>
  <c r="N17" i="9"/>
  <c r="N15" i="10"/>
  <c r="O25" i="3"/>
  <c r="O41" i="4"/>
  <c r="N26" i="4"/>
  <c r="O57" i="6"/>
  <c r="N51" i="6"/>
  <c r="N53" i="7"/>
  <c r="N56" i="7"/>
  <c r="O25" i="9"/>
  <c r="O51" i="10"/>
  <c r="O19" i="3"/>
  <c r="O5" i="6"/>
  <c r="O17" i="7"/>
  <c r="N11" i="7"/>
  <c r="N14" i="9"/>
  <c r="N12" i="10"/>
  <c r="O49" i="3"/>
  <c r="N46" i="4"/>
  <c r="N38" i="4"/>
  <c r="O25" i="4"/>
  <c r="N37" i="6"/>
  <c r="O40" i="6"/>
  <c r="O54" i="6"/>
  <c r="N41" i="8"/>
  <c r="N46" i="8"/>
  <c r="N28" i="9"/>
  <c r="N43" i="9"/>
  <c r="N45" i="10"/>
  <c r="O48" i="10"/>
  <c r="N20" i="4"/>
  <c r="N12" i="4"/>
  <c r="O5" i="3"/>
  <c r="O20" i="6"/>
  <c r="N10" i="6"/>
  <c r="N23" i="7"/>
  <c r="N4" i="7"/>
  <c r="O19" i="8"/>
  <c r="O5" i="8"/>
  <c r="N24" i="9"/>
  <c r="N20" i="9"/>
  <c r="N3" i="10"/>
  <c r="N22" i="10"/>
  <c r="N18" i="10"/>
  <c r="N56" i="4"/>
  <c r="N33" i="4"/>
  <c r="N25" i="4"/>
  <c r="N27" i="6"/>
  <c r="N34" i="9"/>
  <c r="O18" i="3"/>
  <c r="O12" i="3"/>
  <c r="N16" i="7"/>
  <c r="N10" i="7"/>
  <c r="O11" i="8"/>
  <c r="N37" i="10"/>
  <c r="N14" i="6"/>
  <c r="N22" i="7"/>
  <c r="N10" i="8"/>
  <c r="O10" i="8"/>
  <c r="N21" i="10"/>
  <c r="O21" i="10"/>
  <c r="N37" i="3"/>
  <c r="O55" i="7"/>
  <c r="N55" i="7"/>
  <c r="O25" i="10"/>
  <c r="N25" i="10"/>
  <c r="N30" i="3"/>
  <c r="O39" i="6"/>
  <c r="O38" i="7"/>
  <c r="O43" i="7"/>
  <c r="O48" i="7"/>
  <c r="N38" i="9"/>
  <c r="O51" i="9"/>
  <c r="O40" i="10"/>
  <c r="N22" i="8"/>
  <c r="O22" i="8"/>
  <c r="O26" i="7"/>
  <c r="O49" i="6"/>
  <c r="O28" i="7"/>
  <c r="N31" i="7"/>
  <c r="O51" i="7"/>
  <c r="N58" i="7"/>
  <c r="O44" i="8"/>
  <c r="N44" i="8"/>
  <c r="N34" i="10"/>
  <c r="N36" i="9"/>
  <c r="N27" i="9"/>
  <c r="O47" i="9"/>
  <c r="O57" i="9"/>
  <c r="N54" i="10"/>
  <c r="N3" i="3"/>
  <c r="N22" i="9"/>
  <c r="N23" i="10"/>
  <c r="N20" i="10"/>
  <c r="N27" i="3"/>
  <c r="O31" i="10"/>
  <c r="N31" i="10"/>
  <c r="O42" i="3"/>
  <c r="N47" i="3"/>
  <c r="N35" i="6"/>
  <c r="O56" i="8"/>
  <c r="N51" i="10"/>
  <c r="O30" i="3"/>
  <c r="O35" i="3"/>
  <c r="O50" i="3"/>
  <c r="O58" i="4"/>
  <c r="O53" i="4"/>
  <c r="N53" i="4"/>
  <c r="N48" i="4"/>
  <c r="N36" i="4"/>
  <c r="N27" i="8"/>
  <c r="N36" i="8"/>
  <c r="O52" i="6"/>
  <c r="O34" i="7"/>
  <c r="N27" i="10"/>
  <c r="O57" i="10"/>
  <c r="N56" i="9"/>
  <c r="N57" i="9"/>
  <c r="O39" i="9"/>
  <c r="N39" i="9"/>
  <c r="N52" i="9"/>
  <c r="O55" i="9"/>
  <c r="N46" i="10"/>
  <c r="N19" i="4"/>
  <c r="O13" i="4"/>
  <c r="N7" i="4"/>
  <c r="O16" i="3"/>
  <c r="N10" i="3"/>
  <c r="O10" i="3"/>
  <c r="O4" i="3"/>
  <c r="O15" i="6"/>
  <c r="N14" i="8"/>
  <c r="O14" i="8"/>
  <c r="N18" i="9"/>
  <c r="O54" i="3"/>
  <c r="N54" i="3"/>
  <c r="O49" i="4"/>
  <c r="N49" i="4"/>
  <c r="N9" i="10"/>
  <c r="O9" i="10"/>
  <c r="O33" i="3"/>
  <c r="N47" i="4"/>
  <c r="O57" i="8"/>
  <c r="O28" i="6"/>
  <c r="O55" i="6"/>
  <c r="N55" i="6"/>
  <c r="O29" i="7"/>
  <c r="N52" i="10"/>
  <c r="O31" i="9"/>
  <c r="N31" i="9"/>
  <c r="O55" i="10"/>
  <c r="N23" i="9"/>
  <c r="O23" i="9"/>
  <c r="O31" i="8"/>
  <c r="N41" i="6"/>
  <c r="O41" i="6"/>
  <c r="O48" i="3"/>
  <c r="N48" i="3"/>
  <c r="O39" i="7"/>
  <c r="O49" i="7"/>
  <c r="O25" i="8"/>
  <c r="N25" i="8"/>
  <c r="O52" i="8"/>
  <c r="N34" i="3"/>
  <c r="N40" i="4"/>
  <c r="O35" i="4"/>
  <c r="O47" i="6"/>
  <c r="N27" i="7"/>
  <c r="N50" i="7"/>
  <c r="O30" i="8"/>
  <c r="N30" i="8"/>
  <c r="O43" i="9"/>
  <c r="N37" i="9"/>
  <c r="O37" i="9"/>
  <c r="O47" i="10"/>
  <c r="N47" i="10"/>
  <c r="O50" i="10"/>
  <c r="N23" i="4"/>
  <c r="O17" i="4"/>
  <c r="N11" i="4"/>
  <c r="O5" i="4"/>
  <c r="N14" i="3"/>
  <c r="O14" i="3"/>
  <c r="O8" i="3"/>
  <c r="N23" i="3"/>
  <c r="O23" i="3"/>
  <c r="O23" i="6"/>
  <c r="N8" i="10"/>
  <c r="N6" i="3"/>
  <c r="O6" i="3"/>
  <c r="O37" i="3"/>
  <c r="N57" i="3"/>
  <c r="O57" i="3"/>
  <c r="O29" i="4"/>
  <c r="N29" i="4"/>
  <c r="O25" i="6"/>
  <c r="N25" i="6"/>
  <c r="N11" i="9"/>
  <c r="O11" i="9"/>
  <c r="N56" i="10"/>
  <c r="N45" i="9"/>
  <c r="O45" i="9"/>
  <c r="N36" i="3"/>
  <c r="O36" i="3"/>
  <c r="O41" i="3"/>
  <c r="O51" i="3"/>
  <c r="O56" i="3"/>
  <c r="N56" i="3"/>
  <c r="O30" i="4"/>
  <c r="N34" i="6"/>
  <c r="O50" i="6"/>
  <c r="N56" i="6"/>
  <c r="N35" i="7"/>
  <c r="O40" i="7"/>
  <c r="O45" i="7"/>
  <c r="O52" i="7"/>
  <c r="N33" i="8"/>
  <c r="N53" i="8"/>
  <c r="O55" i="8"/>
  <c r="O46" i="9"/>
  <c r="N18" i="8"/>
  <c r="O18" i="8"/>
  <c r="N13" i="9"/>
  <c r="N10" i="9"/>
  <c r="N11" i="10"/>
  <c r="O29" i="3"/>
  <c r="N29" i="3"/>
  <c r="N29" i="9"/>
  <c r="O29" i="9"/>
  <c r="O35" i="9"/>
  <c r="N7" i="6"/>
  <c r="O7" i="6"/>
  <c r="O44" i="6"/>
  <c r="O44" i="7"/>
  <c r="N44" i="7"/>
  <c r="N6" i="8"/>
  <c r="O6" i="8"/>
  <c r="O26" i="3"/>
  <c r="N43" i="3"/>
  <c r="N59" i="4"/>
  <c r="O39" i="3"/>
  <c r="N42" i="3"/>
  <c r="O44" i="3"/>
  <c r="N44" i="3"/>
  <c r="O47" i="3"/>
  <c r="N42" i="4"/>
  <c r="O37" i="4"/>
  <c r="O32" i="4"/>
  <c r="O47" i="8"/>
  <c r="O45" i="6"/>
  <c r="N45" i="6"/>
  <c r="O48" i="6"/>
  <c r="O38" i="8"/>
  <c r="N38" i="8"/>
  <c r="N16" i="4"/>
  <c r="N4" i="4"/>
  <c r="O7" i="3"/>
  <c r="N20" i="7"/>
  <c r="N8" i="7"/>
  <c r="O17" i="8"/>
  <c r="N58" i="3"/>
  <c r="N3" i="8"/>
  <c r="O20" i="8"/>
  <c r="O16" i="8"/>
  <c r="O12" i="8"/>
  <c r="O8" i="8"/>
  <c r="O4" i="8"/>
  <c r="O19" i="9"/>
  <c r="O7" i="9"/>
  <c r="O17" i="10"/>
  <c r="O5" i="10"/>
  <c r="N52" i="7"/>
  <c r="N52" i="8"/>
  <c r="O27" i="9"/>
  <c r="O14" i="9"/>
  <c r="O24" i="10"/>
  <c r="O12" i="10"/>
  <c r="O21" i="9"/>
  <c r="O9" i="9"/>
  <c r="O19" i="10"/>
  <c r="O7" i="10"/>
  <c r="N48" i="7"/>
  <c r="N48" i="8"/>
  <c r="O18" i="9"/>
  <c r="O6" i="9"/>
  <c r="O16" i="10"/>
  <c r="O4" i="10"/>
  <c r="O13" i="9"/>
  <c r="O23" i="10"/>
  <c r="O11" i="10"/>
</calcChain>
</file>

<file path=xl/sharedStrings.xml><?xml version="1.0" encoding="utf-8"?>
<sst xmlns="http://schemas.openxmlformats.org/spreadsheetml/2006/main" count="2782" uniqueCount="2691">
  <si>
    <t>ANÁLISE PETROGRÁFICA</t>
  </si>
  <si>
    <t>Plagioclásio</t>
  </si>
  <si>
    <t>Biotita</t>
  </si>
  <si>
    <t>Titanita</t>
  </si>
  <si>
    <t>K-feldspato</t>
  </si>
  <si>
    <t>Clorita</t>
  </si>
  <si>
    <t>Apatita</t>
  </si>
  <si>
    <t>Quartzo</t>
  </si>
  <si>
    <t>Epidoto</t>
  </si>
  <si>
    <t>Muscovita</t>
  </si>
  <si>
    <t>Metamonzogranito</t>
  </si>
  <si>
    <t>Projeto</t>
  </si>
  <si>
    <t>Tipo de seção</t>
  </si>
  <si>
    <t>Nome do Petrografo</t>
  </si>
  <si>
    <t>Data</t>
  </si>
  <si>
    <t>Armazenamento</t>
  </si>
  <si>
    <t>Características Mesoscópicas</t>
  </si>
  <si>
    <t>Composição Mineralógica</t>
  </si>
  <si>
    <t>%</t>
  </si>
  <si>
    <t>Características Microscópicas</t>
  </si>
  <si>
    <t>Cor</t>
  </si>
  <si>
    <t>Textura</t>
  </si>
  <si>
    <t>Estrutura</t>
  </si>
  <si>
    <t>Estrutura Deformacional</t>
  </si>
  <si>
    <t>Zona de Alteração Hidrotermal</t>
  </si>
  <si>
    <t>Tipo de Metamorfismo</t>
  </si>
  <si>
    <t>Fácies Metamórfica</t>
  </si>
  <si>
    <t>Característica</t>
  </si>
  <si>
    <t>Classificação</t>
  </si>
  <si>
    <t>Unidade</t>
  </si>
  <si>
    <t>Descrição Detalhada/ Complementos</t>
  </si>
  <si>
    <t>Amostra</t>
  </si>
  <si>
    <t>Foto da Amostra</t>
  </si>
  <si>
    <t>Fotomicrografias</t>
  </si>
  <si>
    <t>Polarizadores Paralelos</t>
  </si>
  <si>
    <t>Polarizadores Cruzados</t>
  </si>
  <si>
    <t>SUREG</t>
  </si>
  <si>
    <t>REPO</t>
  </si>
  <si>
    <t>Guilherme Iolino Troncon Guerra</t>
  </si>
  <si>
    <t>Gustavo Negrello Bergami</t>
  </si>
  <si>
    <t>Luciano Castro da Silva</t>
  </si>
  <si>
    <t>DES_TP_SECAO</t>
  </si>
  <si>
    <t>Delgada</t>
  </si>
  <si>
    <t>Delgada-polida</t>
  </si>
  <si>
    <t>Polida</t>
  </si>
  <si>
    <t>OUTROS</t>
  </si>
  <si>
    <t>SEDE</t>
  </si>
  <si>
    <t>ERJ</t>
  </si>
  <si>
    <t>SUREG-MA</t>
  </si>
  <si>
    <t>SUREG-BE</t>
  </si>
  <si>
    <t>SUREG-RE</t>
  </si>
  <si>
    <t>REFO</t>
  </si>
  <si>
    <t>SUREG-SA</t>
  </si>
  <si>
    <t>SUREG-SP</t>
  </si>
  <si>
    <t>SUREG-PA</t>
  </si>
  <si>
    <t>SUREG-BH</t>
  </si>
  <si>
    <t>SUREG-GO</t>
  </si>
  <si>
    <t>NABA</t>
  </si>
  <si>
    <t>RESTE</t>
  </si>
  <si>
    <t>Minerais</t>
  </si>
  <si>
    <t>Acadialita</t>
  </si>
  <si>
    <t>Acantita</t>
  </si>
  <si>
    <t>Acmita</t>
  </si>
  <si>
    <t>Acroita</t>
  </si>
  <si>
    <t>Actinolita</t>
  </si>
  <si>
    <t>Adamita</t>
  </si>
  <si>
    <t>Adulária</t>
  </si>
  <si>
    <t>Aegirina</t>
  </si>
  <si>
    <t>Aegirina-augita</t>
  </si>
  <si>
    <t>Aenigmatita</t>
  </si>
  <si>
    <t>Aeschynita</t>
  </si>
  <si>
    <t>Afrizita</t>
  </si>
  <si>
    <t>Afwillita</t>
  </si>
  <si>
    <t>Agalmatolito</t>
  </si>
  <si>
    <t>Ágata</t>
  </si>
  <si>
    <t>Aglaíta</t>
  </si>
  <si>
    <t>Água-marinha</t>
  </si>
  <si>
    <t>Alabandita</t>
  </si>
  <si>
    <t>Albita</t>
  </si>
  <si>
    <t>Alexandrita</t>
  </si>
  <si>
    <t>Allanita</t>
  </si>
  <si>
    <t>Almandina</t>
  </si>
  <si>
    <t>Alofano</t>
  </si>
  <si>
    <t>Altaita</t>
  </si>
  <si>
    <t>Alunita</t>
  </si>
  <si>
    <t>Amazonita</t>
  </si>
  <si>
    <t>Âmbar</t>
  </si>
  <si>
    <t>Ambligonita</t>
  </si>
  <si>
    <t>Ametista</t>
  </si>
  <si>
    <t>Amianto</t>
  </si>
  <si>
    <t>Amosita</t>
  </si>
  <si>
    <t>Analcima</t>
  </si>
  <si>
    <t>Anatásio</t>
  </si>
  <si>
    <t>Andaluzita</t>
  </si>
  <si>
    <t>Andesina</t>
  </si>
  <si>
    <t>Andradita</t>
  </si>
  <si>
    <t>Anfibólio</t>
  </si>
  <si>
    <t>Anglesita</t>
  </si>
  <si>
    <t>Anidrita</t>
  </si>
  <si>
    <t>Ankerita</t>
  </si>
  <si>
    <t>Annabergita</t>
  </si>
  <si>
    <t>Anortita</t>
  </si>
  <si>
    <t>Anortoclásio</t>
  </si>
  <si>
    <t>Antigorita</t>
  </si>
  <si>
    <t>Antimônio</t>
  </si>
  <si>
    <t>Antlerita</t>
  </si>
  <si>
    <t>Antofilita</t>
  </si>
  <si>
    <t>Apofilita</t>
  </si>
  <si>
    <t>Aragonita</t>
  </si>
  <si>
    <t>Ardenita</t>
  </si>
  <si>
    <t>Arfedsonita</t>
  </si>
  <si>
    <t>Arfverdsonita</t>
  </si>
  <si>
    <t>Argentita</t>
  </si>
  <si>
    <t>Argilominerais</t>
  </si>
  <si>
    <t>Arrojadita</t>
  </si>
  <si>
    <t>Arsênio</t>
  </si>
  <si>
    <t>Arsenopirita</t>
  </si>
  <si>
    <t>Asbesto</t>
  </si>
  <si>
    <t>Astrofilita</t>
  </si>
  <si>
    <t>Atacamita</t>
  </si>
  <si>
    <t>Attapulguita</t>
  </si>
  <si>
    <t>Augita</t>
  </si>
  <si>
    <t>Auricalcita</t>
  </si>
  <si>
    <t>Autunita</t>
  </si>
  <si>
    <t>Aventurina</t>
  </si>
  <si>
    <t>Axinita</t>
  </si>
  <si>
    <t>Azurita</t>
  </si>
  <si>
    <t>Babingtonita</t>
  </si>
  <si>
    <t>Badeleita</t>
  </si>
  <si>
    <t>Barbetonita</t>
  </si>
  <si>
    <t>Barita</t>
  </si>
  <si>
    <t>Baritina</t>
  </si>
  <si>
    <t>Barsovita</t>
  </si>
  <si>
    <t>Barytolamprofilita</t>
  </si>
  <si>
    <t>Basanita</t>
  </si>
  <si>
    <t>Bastanasita</t>
  </si>
  <si>
    <t>Bauxita</t>
  </si>
  <si>
    <t>Benitoíta</t>
  </si>
  <si>
    <t>Bentonita</t>
  </si>
  <si>
    <t>Berilo</t>
  </si>
  <si>
    <t>Berilonita</t>
  </si>
  <si>
    <t>Berthierita</t>
  </si>
  <si>
    <t>Berzelianita</t>
  </si>
  <si>
    <t>Betafita</t>
  </si>
  <si>
    <t>Bismutinita</t>
  </si>
  <si>
    <t>Bismutita</t>
  </si>
  <si>
    <t>Bismuto</t>
  </si>
  <si>
    <t>Bixbita</t>
  </si>
  <si>
    <t>Bloedita</t>
  </si>
  <si>
    <t>Boehmita</t>
  </si>
  <si>
    <t>Boleíta</t>
  </si>
  <si>
    <t>Boracita</t>
  </si>
  <si>
    <t>Bórax</t>
  </si>
  <si>
    <t>Bornita</t>
  </si>
  <si>
    <t>Boulangerita</t>
  </si>
  <si>
    <t>Bournonita</t>
  </si>
  <si>
    <t>Bowenita</t>
  </si>
  <si>
    <t>Brasilianita</t>
  </si>
  <si>
    <t>Bravoita</t>
  </si>
  <si>
    <t>Brewsterita</t>
  </si>
  <si>
    <t>Britholita</t>
  </si>
  <si>
    <t>Brocantita</t>
  </si>
  <si>
    <t>Bromargirita</t>
  </si>
  <si>
    <t>Bronzita</t>
  </si>
  <si>
    <t>Brookita</t>
  </si>
  <si>
    <t>Brucita</t>
  </si>
  <si>
    <t>Brunsvizita</t>
  </si>
  <si>
    <t>Bustamita</t>
  </si>
  <si>
    <t>Bytownita</t>
  </si>
  <si>
    <t>Cabazita</t>
  </si>
  <si>
    <t>Calamina</t>
  </si>
  <si>
    <t>Calaverita</t>
  </si>
  <si>
    <t>Calcantita</t>
  </si>
  <si>
    <t>Calcedônia</t>
  </si>
  <si>
    <t>Calcita</t>
  </si>
  <si>
    <t>Calcocita</t>
  </si>
  <si>
    <t>Calcofanita</t>
  </si>
  <si>
    <t>Calcopirita</t>
  </si>
  <si>
    <t>Calcosina</t>
  </si>
  <si>
    <t>Calcosita</t>
  </si>
  <si>
    <t>Calcotricita</t>
  </si>
  <si>
    <t>Cancrinita</t>
  </si>
  <si>
    <t>Candralita</t>
  </si>
  <si>
    <t>Carbonato</t>
  </si>
  <si>
    <t>Carbonato-apatita</t>
  </si>
  <si>
    <t>Carborudun</t>
  </si>
  <si>
    <t>Carnallita</t>
  </si>
  <si>
    <t>Carrolita</t>
  </si>
  <si>
    <t>Carussita</t>
  </si>
  <si>
    <t>Cassiterita</t>
  </si>
  <si>
    <t>Caulim</t>
  </si>
  <si>
    <t>Caulinita</t>
  </si>
  <si>
    <t>Cavansita</t>
  </si>
  <si>
    <t>Celadonita</t>
  </si>
  <si>
    <t>Celestita</t>
  </si>
  <si>
    <t>Cerargirita</t>
  </si>
  <si>
    <t>Cerianita</t>
  </si>
  <si>
    <t>Cerita</t>
  </si>
  <si>
    <t>Cerussita</t>
  </si>
  <si>
    <t>Chabasita</t>
  </si>
  <si>
    <t>Challantita</t>
  </si>
  <si>
    <t>Chambersita</t>
  </si>
  <si>
    <t>Chamosita</t>
  </si>
  <si>
    <t>Chenevixita</t>
  </si>
  <si>
    <t>Chert (quartzo microcristalino)</t>
  </si>
  <si>
    <t>Chesterita</t>
  </si>
  <si>
    <t>Chiastolita</t>
  </si>
  <si>
    <t>Childrenita</t>
  </si>
  <si>
    <t>Chkalovita</t>
  </si>
  <si>
    <t>Chusita</t>
  </si>
  <si>
    <t>Cianita</t>
  </si>
  <si>
    <t>Cilindrita</t>
  </si>
  <si>
    <t>Cimofano (crisoberilo azul)</t>
  </si>
  <si>
    <t>Cinábrio</t>
  </si>
  <si>
    <t>Cismondina</t>
  </si>
  <si>
    <t>Citrino</t>
  </si>
  <si>
    <t>Cleavelandita (albita)</t>
  </si>
  <si>
    <t>Cleveíta</t>
  </si>
  <si>
    <t>Clinocloro</t>
  </si>
  <si>
    <t>Clinoesntatita</t>
  </si>
  <si>
    <t>Clinoferrosilita</t>
  </si>
  <si>
    <t>Clinohiperstênio</t>
  </si>
  <si>
    <t>Clinohumita</t>
  </si>
  <si>
    <t>Clinotrifilita</t>
  </si>
  <si>
    <t>Clinozoisita</t>
  </si>
  <si>
    <t>Clintonita</t>
  </si>
  <si>
    <t>Clorantita</t>
  </si>
  <si>
    <t>Cloritóide</t>
  </si>
  <si>
    <t>Cloroapatita</t>
  </si>
  <si>
    <t>Cloroargirita</t>
  </si>
  <si>
    <t>Cobaltita</t>
  </si>
  <si>
    <t>Cobre</t>
  </si>
  <si>
    <t>Coesita</t>
  </si>
  <si>
    <t>Coffinita</t>
  </si>
  <si>
    <t>Colemanita</t>
  </si>
  <si>
    <t>Collofano (apatita)</t>
  </si>
  <si>
    <t>Colofana</t>
  </si>
  <si>
    <t>Columbita</t>
  </si>
  <si>
    <t>Condrodita</t>
  </si>
  <si>
    <t>Coquimbita</t>
  </si>
  <si>
    <t>Corcoíta</t>
  </si>
  <si>
    <t>Cordierita</t>
  </si>
  <si>
    <t>Corindon</t>
  </si>
  <si>
    <t>Cornalina (calcedônia vermelha)</t>
  </si>
  <si>
    <t>Cornetita</t>
  </si>
  <si>
    <t>Coronadita</t>
  </si>
  <si>
    <t>Corvusita</t>
  </si>
  <si>
    <t>Cosalita</t>
  </si>
  <si>
    <t>Covelita</t>
  </si>
  <si>
    <t>Cowlesita</t>
  </si>
  <si>
    <t>Crestmoreíta</t>
  </si>
  <si>
    <t>Criolita</t>
  </si>
  <si>
    <t>Criptomelano</t>
  </si>
  <si>
    <t>Criptopertita</t>
  </si>
  <si>
    <t>Crischtonita</t>
  </si>
  <si>
    <t>Crisoberilo</t>
  </si>
  <si>
    <t>Crisocola</t>
  </si>
  <si>
    <t>Crisolita</t>
  </si>
  <si>
    <t>Crisoprásio (calcedônia verde)</t>
  </si>
  <si>
    <t>Crisotilo</t>
  </si>
  <si>
    <t>Cristobalita</t>
  </si>
  <si>
    <t>Crocidolita</t>
  </si>
  <si>
    <t>Crocoíta</t>
  </si>
  <si>
    <t>Cromita</t>
  </si>
  <si>
    <t>Crossita (anfibólio)</t>
  </si>
  <si>
    <t>Cummingtonita</t>
  </si>
  <si>
    <t>Cuprita</t>
  </si>
  <si>
    <t>Curtisita</t>
  </si>
  <si>
    <t>Dakeíta</t>
  </si>
  <si>
    <t>Damburita</t>
  </si>
  <si>
    <t>Datolita</t>
  </si>
  <si>
    <t>Dawsonita</t>
  </si>
  <si>
    <t>Delassonita</t>
  </si>
  <si>
    <t>Delessita</t>
  </si>
  <si>
    <t>Demantóide</t>
  </si>
  <si>
    <t>Descloisita</t>
  </si>
  <si>
    <t>Devillina</t>
  </si>
  <si>
    <t>Diálaga (diopsídio)</t>
  </si>
  <si>
    <t>Diamante</t>
  </si>
  <si>
    <t>Diaspora</t>
  </si>
  <si>
    <t>Diatomita</t>
  </si>
  <si>
    <t>Dickita</t>
  </si>
  <si>
    <t>Dicroita</t>
  </si>
  <si>
    <t>Digenita</t>
  </si>
  <si>
    <t>Diopsídio</t>
  </si>
  <si>
    <t>Dioptásio (esmeralda cuprífera)</t>
  </si>
  <si>
    <t>Dipiro</t>
  </si>
  <si>
    <t>Djurleita</t>
  </si>
  <si>
    <t>Dolomita</t>
  </si>
  <si>
    <t>Dorfmanita</t>
  </si>
  <si>
    <t>Dravita</t>
  </si>
  <si>
    <t>Droogmansita</t>
  </si>
  <si>
    <t>Drugmanita</t>
  </si>
  <si>
    <t>Dsalmaita</t>
  </si>
  <si>
    <t>Dufrenita</t>
  </si>
  <si>
    <t>Dufrenoisita</t>
  </si>
  <si>
    <t>Duftita</t>
  </si>
  <si>
    <t>Dumortierita</t>
  </si>
  <si>
    <t>Duparcita</t>
  </si>
  <si>
    <t>Edenita</t>
  </si>
  <si>
    <t>Edingtonita</t>
  </si>
  <si>
    <t>Elbaita</t>
  </si>
  <si>
    <t>Eleolita</t>
  </si>
  <si>
    <t>Ellestadita</t>
  </si>
  <si>
    <t>Enargita</t>
  </si>
  <si>
    <t>Endlichita</t>
  </si>
  <si>
    <t>Enstatita</t>
  </si>
  <si>
    <t>Enxofre</t>
  </si>
  <si>
    <t>Eosforita</t>
  </si>
  <si>
    <t>Epididymita</t>
  </si>
  <si>
    <t>Epistilbita</t>
  </si>
  <si>
    <t>Epistolita</t>
  </si>
  <si>
    <t>Epsomita</t>
  </si>
  <si>
    <t>Erionita</t>
  </si>
  <si>
    <t>Eritrita</t>
  </si>
  <si>
    <t>Escapolita</t>
  </si>
  <si>
    <t>Escolecita</t>
  </si>
  <si>
    <t>Escorodita</t>
  </si>
  <si>
    <t>Esfalerita</t>
  </si>
  <si>
    <t>Esfeno</t>
  </si>
  <si>
    <t>Esferulita</t>
  </si>
  <si>
    <t>Esmaltita</t>
  </si>
  <si>
    <t>Esmectita</t>
  </si>
  <si>
    <t>Esmeralda</t>
  </si>
  <si>
    <t>Especularita</t>
  </si>
  <si>
    <t>Espessartina</t>
  </si>
  <si>
    <t>Espessartita</t>
  </si>
  <si>
    <t>Espinélio</t>
  </si>
  <si>
    <t>Espodumênio</t>
  </si>
  <si>
    <t>Essonita (granada grossulária)</t>
  </si>
  <si>
    <t>Estaetita</t>
  </si>
  <si>
    <t>Estanho</t>
  </si>
  <si>
    <t>Estanita</t>
  </si>
  <si>
    <t>Estarlita</t>
  </si>
  <si>
    <t>Estaurolita</t>
  </si>
  <si>
    <t>Esteatito</t>
  </si>
  <si>
    <t>Estibnita</t>
  </si>
  <si>
    <t>Estilbita</t>
  </si>
  <si>
    <t>Estilfomelano</t>
  </si>
  <si>
    <t>Estilpelomelano</t>
  </si>
  <si>
    <t>Estroncianita</t>
  </si>
  <si>
    <t>Ettinguita</t>
  </si>
  <si>
    <t>Euclásio</t>
  </si>
  <si>
    <t>Eucolita</t>
  </si>
  <si>
    <t>Eucriptito</t>
  </si>
  <si>
    <t>Eudialita</t>
  </si>
  <si>
    <t>Euxenita</t>
  </si>
  <si>
    <t>Faialita</t>
  </si>
  <si>
    <t>Famatinita</t>
  </si>
  <si>
    <t>Fancrolita</t>
  </si>
  <si>
    <t>Farmacolita</t>
  </si>
  <si>
    <t>Farmacossiderita</t>
  </si>
  <si>
    <t>Faujasita</t>
  </si>
  <si>
    <t>Feberita (wolframita)</t>
  </si>
  <si>
    <t>Feldspato</t>
  </si>
  <si>
    <t>Feldspato alcalino</t>
  </si>
  <si>
    <t>Feldspatóide</t>
  </si>
  <si>
    <t>Felsita</t>
  </si>
  <si>
    <t>Felsobanyíta</t>
  </si>
  <si>
    <t>Fenacita</t>
  </si>
  <si>
    <t>Fergusonita</t>
  </si>
  <si>
    <t>Ferrierita</t>
  </si>
  <si>
    <t>Ferrimolibdita</t>
  </si>
  <si>
    <t>Ferro</t>
  </si>
  <si>
    <t>Ferroactinolita</t>
  </si>
  <si>
    <t>Ferropseudobrookita</t>
  </si>
  <si>
    <t>Ferrosilita</t>
  </si>
  <si>
    <t>Fersmanita</t>
  </si>
  <si>
    <t>Fibrolita (silimanita)</t>
  </si>
  <si>
    <t>Fiorita</t>
  </si>
  <si>
    <t>Flogopita</t>
  </si>
  <si>
    <t>Flouborita</t>
  </si>
  <si>
    <t>Fluorapatita</t>
  </si>
  <si>
    <t>Fluorita</t>
  </si>
  <si>
    <t>Forsterita</t>
  </si>
  <si>
    <t>Fosfato</t>
  </si>
  <si>
    <t>Fosfoferrita</t>
  </si>
  <si>
    <t>Fosforita</t>
  </si>
  <si>
    <t>Fosgenita</t>
  </si>
  <si>
    <t>Fowlerita (rodonita)</t>
  </si>
  <si>
    <t>Frandelita</t>
  </si>
  <si>
    <t>Franklinita</t>
  </si>
  <si>
    <t>Freiberita</t>
  </si>
  <si>
    <t>Freieslebenita</t>
  </si>
  <si>
    <t>Fuchsita</t>
  </si>
  <si>
    <t>Fulgurito</t>
  </si>
  <si>
    <t>Gadolinita</t>
  </si>
  <si>
    <t>Gahnita</t>
  </si>
  <si>
    <t>Gaidonayita</t>
  </si>
  <si>
    <t>Gailussita</t>
  </si>
  <si>
    <t>Galaxita</t>
  </si>
  <si>
    <t>Galena</t>
  </si>
  <si>
    <t>Garnierita</t>
  </si>
  <si>
    <t>Gedrita</t>
  </si>
  <si>
    <t>Geikielita</t>
  </si>
  <si>
    <t>Geiserita</t>
  </si>
  <si>
    <t>Geocronita</t>
  </si>
  <si>
    <t>Gersdorffita</t>
  </si>
  <si>
    <t>Gibbsita</t>
  </si>
  <si>
    <t>Giobertita</t>
  </si>
  <si>
    <t>Gipsita</t>
  </si>
  <si>
    <t>Gipso</t>
  </si>
  <si>
    <t>Girolita</t>
  </si>
  <si>
    <t>Gismondina</t>
  </si>
  <si>
    <t>Glaucodoto</t>
  </si>
  <si>
    <t>Glauconfânio</t>
  </si>
  <si>
    <t>Glauconita</t>
  </si>
  <si>
    <t>Glendonita</t>
  </si>
  <si>
    <t>Gmelinita</t>
  </si>
  <si>
    <t>Goetita</t>
  </si>
  <si>
    <t>Goiasita</t>
  </si>
  <si>
    <t>Gonnardita</t>
  </si>
  <si>
    <t>Gorceixita</t>
  </si>
  <si>
    <t>Goshenita</t>
  </si>
  <si>
    <t>Goyazita</t>
  </si>
  <si>
    <t>Grafita</t>
  </si>
  <si>
    <t>Graftonita</t>
  </si>
  <si>
    <t>Grammatita</t>
  </si>
  <si>
    <t>Granada</t>
  </si>
  <si>
    <t>Gratonita</t>
  </si>
  <si>
    <t>Greenalita</t>
  </si>
  <si>
    <t>Greenckita</t>
  </si>
  <si>
    <t>Grossulária</t>
  </si>
  <si>
    <t>Grunerita</t>
  </si>
  <si>
    <t>Gumita</t>
  </si>
  <si>
    <t>Hackmanita</t>
  </si>
  <si>
    <t>Halita</t>
  </si>
  <si>
    <t>Halloisita</t>
  </si>
  <si>
    <t>Harmotomo</t>
  </si>
  <si>
    <t>Hastingsita</t>
  </si>
  <si>
    <t>Haunita</t>
  </si>
  <si>
    <t>Haussmannita</t>
  </si>
  <si>
    <t>Haverita</t>
  </si>
  <si>
    <t>Hectorita</t>
  </si>
  <si>
    <t>Hedenbergita</t>
  </si>
  <si>
    <t>Heliotropo</t>
  </si>
  <si>
    <t>Hematita</t>
  </si>
  <si>
    <t>Hemimorfita</t>
  </si>
  <si>
    <t>Hercynita</t>
  </si>
  <si>
    <t>Hessonita</t>
  </si>
  <si>
    <t>Heulandita</t>
  </si>
  <si>
    <t>Hewettita</t>
  </si>
  <si>
    <t>Hialita</t>
  </si>
  <si>
    <t>Hiddenita</t>
  </si>
  <si>
    <t>Hideozincita</t>
  </si>
  <si>
    <t>Hidroboracita</t>
  </si>
  <si>
    <t>Hidrogrossulária</t>
  </si>
  <si>
    <t>Hidrohausmanita</t>
  </si>
  <si>
    <t>Hidrotalcita</t>
  </si>
  <si>
    <t>Hidroxilapatita</t>
  </si>
  <si>
    <t>Hidrozincita</t>
  </si>
  <si>
    <t>Hilairita</t>
  </si>
  <si>
    <t>Hiperstênio</t>
  </si>
  <si>
    <t>Hislopita</t>
  </si>
  <si>
    <t>Hollandita</t>
  </si>
  <si>
    <t>Holmquistita</t>
  </si>
  <si>
    <t>Horblenda</t>
  </si>
  <si>
    <t>Howlita</t>
  </si>
  <si>
    <t>Huebnerita</t>
  </si>
  <si>
    <t>Humboldrita</t>
  </si>
  <si>
    <t>Humita</t>
  </si>
  <si>
    <t>Huntita</t>
  </si>
  <si>
    <t>Hyalofano</t>
  </si>
  <si>
    <t>Idocrásio</t>
  </si>
  <si>
    <t>Ilita</t>
  </si>
  <si>
    <t>Ilmenita</t>
  </si>
  <si>
    <t>Ilvanita</t>
  </si>
  <si>
    <t>Indialita</t>
  </si>
  <si>
    <t>Indicolita</t>
  </si>
  <si>
    <t>Inyoíta</t>
  </si>
  <si>
    <t>Iodargyrita</t>
  </si>
  <si>
    <t>Iodobromita</t>
  </si>
  <si>
    <t>Iolita</t>
  </si>
  <si>
    <t>Irídio</t>
  </si>
  <si>
    <t>Jacobsita</t>
  </si>
  <si>
    <t>Jade</t>
  </si>
  <si>
    <t>Jadeíta</t>
  </si>
  <si>
    <t>Jarosita</t>
  </si>
  <si>
    <t>Jaspe</t>
  </si>
  <si>
    <t>Jimthopsonita</t>
  </si>
  <si>
    <t>Johannsenita</t>
  </si>
  <si>
    <t>Kalsilita</t>
  </si>
  <si>
    <t>Kamacita</t>
  </si>
  <si>
    <t>Kaninita</t>
  </si>
  <si>
    <t>Karpinskyita</t>
  </si>
  <si>
    <t>Katapleita</t>
  </si>
  <si>
    <t>Kazakovita</t>
  </si>
  <si>
    <t>Keatita</t>
  </si>
  <si>
    <t>Keilhauita (titanita)</t>
  </si>
  <si>
    <t>keldyshita</t>
  </si>
  <si>
    <t>Kernita</t>
  </si>
  <si>
    <t>Kieserita</t>
  </si>
  <si>
    <t>Kobellita</t>
  </si>
  <si>
    <t>Kogarkoita</t>
  </si>
  <si>
    <t>Kostovita</t>
  </si>
  <si>
    <t>Krantzita</t>
  </si>
  <si>
    <t>Krennerita</t>
  </si>
  <si>
    <t>Kronnlita</t>
  </si>
  <si>
    <t>Kunzita</t>
  </si>
  <si>
    <t>Kurnakovita</t>
  </si>
  <si>
    <t>Kutnahorita</t>
  </si>
  <si>
    <t>Labradonita</t>
  </si>
  <si>
    <t>Labradorita</t>
  </si>
  <si>
    <t>Lamprobolita</t>
  </si>
  <si>
    <t>Lamprofilita</t>
  </si>
  <si>
    <t>Langbeinita</t>
  </si>
  <si>
    <t>Languita</t>
  </si>
  <si>
    <t>Lapis lázuli</t>
  </si>
  <si>
    <t>Laueíta</t>
  </si>
  <si>
    <t>Laumontita</t>
  </si>
  <si>
    <t>Laurionita</t>
  </si>
  <si>
    <t>Lavenita</t>
  </si>
  <si>
    <t>Lawsonita</t>
  </si>
  <si>
    <t>Lazulita</t>
  </si>
  <si>
    <t>Lazurita</t>
  </si>
  <si>
    <t>Lechatelierita</t>
  </si>
  <si>
    <t>Leifita</t>
  </si>
  <si>
    <t>Lepidocrocita</t>
  </si>
  <si>
    <t>Lepidolita</t>
  </si>
  <si>
    <t>Leucita</t>
  </si>
  <si>
    <t>Leucophanita</t>
  </si>
  <si>
    <t>Leucoxênio</t>
  </si>
  <si>
    <t>Levyna</t>
  </si>
  <si>
    <t>Libetenita</t>
  </si>
  <si>
    <t>Liddicoatita</t>
  </si>
  <si>
    <t>Limonita</t>
  </si>
  <si>
    <t>Linarita</t>
  </si>
  <si>
    <t>Lindgrenita</t>
  </si>
  <si>
    <t>Linnaeita</t>
  </si>
  <si>
    <t>Litiofilita</t>
  </si>
  <si>
    <t>Livingstonita</t>
  </si>
  <si>
    <t>Lizardita</t>
  </si>
  <si>
    <t>Lollinguita</t>
  </si>
  <si>
    <t>Lomonosovita</t>
  </si>
  <si>
    <t>Lonsdaelita</t>
  </si>
  <si>
    <t>Loparita</t>
  </si>
  <si>
    <t>Lorenzenita</t>
  </si>
  <si>
    <t>Lovozerita</t>
  </si>
  <si>
    <t>Ludwiguita</t>
  </si>
  <si>
    <t>Lusungita</t>
  </si>
  <si>
    <t>Luzonita</t>
  </si>
  <si>
    <t>Maghemita</t>
  </si>
  <si>
    <t>Magnesiocromita</t>
  </si>
  <si>
    <t>Magnesioferrita</t>
  </si>
  <si>
    <t>Magnesita</t>
  </si>
  <si>
    <t>Magnetita</t>
  </si>
  <si>
    <t>Magyagita</t>
  </si>
  <si>
    <t>Malaquita</t>
  </si>
  <si>
    <t>Manganita</t>
  </si>
  <si>
    <t>Manganosita</t>
  </si>
  <si>
    <t>Manganotantalita</t>
  </si>
  <si>
    <t>Manjiroita</t>
  </si>
  <si>
    <t>Marcassita</t>
  </si>
  <si>
    <t>Margarita</t>
  </si>
  <si>
    <t>Marialita</t>
  </si>
  <si>
    <t>Martita</t>
  </si>
  <si>
    <t>Meionita</t>
  </si>
  <si>
    <t>Melanita</t>
  </si>
  <si>
    <t>Melanterita</t>
  </si>
  <si>
    <t>Melifanita</t>
  </si>
  <si>
    <t>Melilita</t>
  </si>
  <si>
    <t>Menacanita</t>
  </si>
  <si>
    <t>Mercúrio</t>
  </si>
  <si>
    <t>Mesolita</t>
  </si>
  <si>
    <t>Metacinábrio</t>
  </si>
  <si>
    <t>Metautunita</t>
  </si>
  <si>
    <t>Mica</t>
  </si>
  <si>
    <t>Microclina</t>
  </si>
  <si>
    <t>Milerita</t>
  </si>
  <si>
    <t>Mimetita</t>
  </si>
  <si>
    <t>Minesotaita</t>
  </si>
  <si>
    <t>Mínio</t>
  </si>
  <si>
    <t>Molibdenita</t>
  </si>
  <si>
    <t>Monalbita</t>
  </si>
  <si>
    <t>Monazita</t>
  </si>
  <si>
    <t>Montebrasita</t>
  </si>
  <si>
    <t>Montesommaita</t>
  </si>
  <si>
    <t>Monticelita</t>
  </si>
  <si>
    <t>Montmorilonita</t>
  </si>
  <si>
    <t>Mordenita</t>
  </si>
  <si>
    <t>Morganita</t>
  </si>
  <si>
    <t>Mosandrita</t>
  </si>
  <si>
    <t>Mulita</t>
  </si>
  <si>
    <t>Murdochita</t>
  </si>
  <si>
    <t>Murmanita</t>
  </si>
  <si>
    <t>Muthmanita</t>
  </si>
  <si>
    <t>Nacrita</t>
  </si>
  <si>
    <t>Nadorita</t>
  </si>
  <si>
    <t>Nagyaguita</t>
  </si>
  <si>
    <t>Natrita</t>
  </si>
  <si>
    <t>Natroalunita</t>
  </si>
  <si>
    <t>Natrodavina</t>
  </si>
  <si>
    <t>Natrolita</t>
  </si>
  <si>
    <t>Natrosilita</t>
  </si>
  <si>
    <t>Naumeita</t>
  </si>
  <si>
    <t>Nefelina</t>
  </si>
  <si>
    <t>Nefrita</t>
  </si>
  <si>
    <t>Neptunita</t>
  </si>
  <si>
    <t>Nickelita</t>
  </si>
  <si>
    <t>Nicolita</t>
  </si>
  <si>
    <t>Niobita</t>
  </si>
  <si>
    <t>Niocalita</t>
  </si>
  <si>
    <t>Niquel</t>
  </si>
  <si>
    <t>Nitratita</t>
  </si>
  <si>
    <t>Nontronita</t>
  </si>
  <si>
    <t>Norbergita</t>
  </si>
  <si>
    <t>Noseana</t>
  </si>
  <si>
    <t>Noselita</t>
  </si>
  <si>
    <t>Noumeita</t>
  </si>
  <si>
    <t>Obsidiana</t>
  </si>
  <si>
    <t>Ofretita</t>
  </si>
  <si>
    <t>Olho-de-falcão</t>
  </si>
  <si>
    <t>Olho-de-gato</t>
  </si>
  <si>
    <t>Olho-de-tigre</t>
  </si>
  <si>
    <t>Oligoclásio</t>
  </si>
  <si>
    <t>Olivenita</t>
  </si>
  <si>
    <t>Olivina</t>
  </si>
  <si>
    <t>Onfacita</t>
  </si>
  <si>
    <t>Onix</t>
  </si>
  <si>
    <t>Opaco (Microscopia)</t>
  </si>
  <si>
    <t>Opala</t>
  </si>
  <si>
    <t>Orangita</t>
  </si>
  <si>
    <t>Orpimenta</t>
  </si>
  <si>
    <t>Ortita</t>
  </si>
  <si>
    <t>Ortoclásio</t>
  </si>
  <si>
    <t>Ortoferrosilita</t>
  </si>
  <si>
    <t>Osumilita</t>
  </si>
  <si>
    <t>Otavita</t>
  </si>
  <si>
    <t>Otawayita</t>
  </si>
  <si>
    <t>Ottrelita</t>
  </si>
  <si>
    <t>Óxido</t>
  </si>
  <si>
    <t>Oyimpita</t>
  </si>
  <si>
    <t>Ozoquerita</t>
  </si>
  <si>
    <t>Pacolita</t>
  </si>
  <si>
    <t>Painita</t>
  </si>
  <si>
    <t>Paladoarseneto</t>
  </si>
  <si>
    <t>Paladseíta</t>
  </si>
  <si>
    <t>Palygorskita</t>
  </si>
  <si>
    <t>Paragonita</t>
  </si>
  <si>
    <t>Parakeldyshita</t>
  </si>
  <si>
    <t>Paratacamita</t>
  </si>
  <si>
    <t>Pargasita</t>
  </si>
  <si>
    <t>Pascoíta</t>
  </si>
  <si>
    <t>Patronita</t>
  </si>
  <si>
    <t>Paulingita</t>
  </si>
  <si>
    <t>Pectolita</t>
  </si>
  <si>
    <t>Peninita</t>
  </si>
  <si>
    <t>Pennantita</t>
  </si>
  <si>
    <t>Periclásio</t>
  </si>
  <si>
    <t>Peridoto</t>
  </si>
  <si>
    <t>Peridterita</t>
  </si>
  <si>
    <t>Perovskita</t>
  </si>
  <si>
    <t>Pertita</t>
  </si>
  <si>
    <t>Petalita</t>
  </si>
  <si>
    <t>Petlandita</t>
  </si>
  <si>
    <t>Petzita</t>
  </si>
  <si>
    <t>Phillipsita</t>
  </si>
  <si>
    <t>Phosgenita</t>
  </si>
  <si>
    <t>Phosinaita</t>
  </si>
  <si>
    <t>Piedmontita</t>
  </si>
  <si>
    <t>Pigeonita</t>
  </si>
  <si>
    <t>Pirargirita</t>
  </si>
  <si>
    <t>Pirita</t>
  </si>
  <si>
    <t>Pirocloro</t>
  </si>
  <si>
    <t>Pirofilita</t>
  </si>
  <si>
    <t>Pirolusita</t>
  </si>
  <si>
    <t>Piromorfita</t>
  </si>
  <si>
    <t>Piropo</t>
  </si>
  <si>
    <t>Piroxênio</t>
  </si>
  <si>
    <t>Piroxenóide</t>
  </si>
  <si>
    <t>Pirrotita</t>
  </si>
  <si>
    <t>Pistacita</t>
  </si>
  <si>
    <t>Piticita</t>
  </si>
  <si>
    <t>Plancheita</t>
  </si>
  <si>
    <t>Platina</t>
  </si>
  <si>
    <t>Plattnerita</t>
  </si>
  <si>
    <t>Plumosita</t>
  </si>
  <si>
    <t>Polialita</t>
  </si>
  <si>
    <t>Polianita</t>
  </si>
  <si>
    <t>Polibasita</t>
  </si>
  <si>
    <t>Polucita</t>
  </si>
  <si>
    <t>Prásio</t>
  </si>
  <si>
    <t>Prata</t>
  </si>
  <si>
    <t>Prehnita</t>
  </si>
  <si>
    <t>Proustita</t>
  </si>
  <si>
    <t>Pseudoazurita</t>
  </si>
  <si>
    <t>Pseudoleucita</t>
  </si>
  <si>
    <t>Psilomelano</t>
  </si>
  <si>
    <t>Ptilolito</t>
  </si>
  <si>
    <t>Purpurita</t>
  </si>
  <si>
    <t>Quartzo fumê</t>
  </si>
  <si>
    <t>Quartzo rosa</t>
  </si>
  <si>
    <t>Quiastolita</t>
  </si>
  <si>
    <t>Ramsayita</t>
  </si>
  <si>
    <t>Rasvumita</t>
  </si>
  <si>
    <t>Realgar</t>
  </si>
  <si>
    <t>Renierita</t>
  </si>
  <si>
    <t>Rhaboofano</t>
  </si>
  <si>
    <t>Riebeckita</t>
  </si>
  <si>
    <t>Rinkita</t>
  </si>
  <si>
    <t>Rockbridgeíta</t>
  </si>
  <si>
    <t>Rodocrosita</t>
  </si>
  <si>
    <t>Rodolita</t>
  </si>
  <si>
    <t>Rodonita</t>
  </si>
  <si>
    <t>Roemerita</t>
  </si>
  <si>
    <t>Romanechita</t>
  </si>
  <si>
    <t>Roscoelita</t>
  </si>
  <si>
    <t>Rubelita</t>
  </si>
  <si>
    <t>Rubi</t>
  </si>
  <si>
    <t>Rutilo</t>
  </si>
  <si>
    <t>Safira</t>
  </si>
  <si>
    <t>Safirina</t>
  </si>
  <si>
    <t>Samarskita</t>
  </si>
  <si>
    <t>Sanidina</t>
  </si>
  <si>
    <t>Sassolita</t>
  </si>
  <si>
    <t>Saussurita</t>
  </si>
  <si>
    <t>Scheelita</t>
  </si>
  <si>
    <t>Schorlita</t>
  </si>
  <si>
    <t>Schorlomita</t>
  </si>
  <si>
    <t>Scorodita</t>
  </si>
  <si>
    <t>Scorzalita</t>
  </si>
  <si>
    <t>Seidozerita</t>
  </si>
  <si>
    <t>Selenita</t>
  </si>
  <si>
    <t>Semseyíta</t>
  </si>
  <si>
    <t>Senarmontila</t>
  </si>
  <si>
    <t>Sepiolita</t>
  </si>
  <si>
    <t>Serecita</t>
  </si>
  <si>
    <t>Sericita</t>
  </si>
  <si>
    <t>Serpentina</t>
  </si>
  <si>
    <t>Seybertita</t>
  </si>
  <si>
    <t>Shatuckita</t>
  </si>
  <si>
    <t>Siderita</t>
  </si>
  <si>
    <t>Silimanita</t>
  </si>
  <si>
    <t>Silvanita</t>
  </si>
  <si>
    <t>Silvita</t>
  </si>
  <si>
    <t>Sinhalita</t>
  </si>
  <si>
    <t>Skutterudita</t>
  </si>
  <si>
    <t>Slavikita</t>
  </si>
  <si>
    <t>Smithsonita</t>
  </si>
  <si>
    <t>Sodalita</t>
  </si>
  <si>
    <t>Steenstrupina</t>
  </si>
  <si>
    <t>Stellerita</t>
  </si>
  <si>
    <t>Stewartita</t>
  </si>
  <si>
    <t>Stilbita</t>
  </si>
  <si>
    <t>Stishovita</t>
  </si>
  <si>
    <t>Stolzita</t>
  </si>
  <si>
    <t>Strenguita</t>
  </si>
  <si>
    <t>Strunzita</t>
  </si>
  <si>
    <t>Sudoita</t>
  </si>
  <si>
    <t>Taenita</t>
  </si>
  <si>
    <t>Talco</t>
  </si>
  <si>
    <t>Tantalita</t>
  </si>
  <si>
    <t>Tanzanita</t>
  </si>
  <si>
    <t>Tapiolita</t>
  </si>
  <si>
    <t>Tefronita</t>
  </si>
  <si>
    <t>Telúrio</t>
  </si>
  <si>
    <t>Tenardita</t>
  </si>
  <si>
    <t>Tennantita</t>
  </si>
  <si>
    <t>Tenorita</t>
  </si>
  <si>
    <t>Tetraedrita</t>
  </si>
  <si>
    <t>Tetraferriflogopita</t>
  </si>
  <si>
    <t>Thomsonita</t>
  </si>
  <si>
    <t>Thorianita</t>
  </si>
  <si>
    <t>Thorita</t>
  </si>
  <si>
    <t>Tincalconita</t>
  </si>
  <si>
    <t>Tinzenita</t>
  </si>
  <si>
    <t>Tirolita</t>
  </si>
  <si>
    <t>Tisinalita</t>
  </si>
  <si>
    <t>Todorokita</t>
  </si>
  <si>
    <t>Topázio</t>
  </si>
  <si>
    <t>Torbenita</t>
  </si>
  <si>
    <t>Torbernita</t>
  </si>
  <si>
    <t>Travertina</t>
  </si>
  <si>
    <t>Tremolita</t>
  </si>
  <si>
    <t>Tridimita</t>
  </si>
  <si>
    <t>Trifilita</t>
  </si>
  <si>
    <t>Triplita</t>
  </si>
  <si>
    <t>Troilita</t>
  </si>
  <si>
    <t>Troostita</t>
  </si>
  <si>
    <t>Tsavorita</t>
  </si>
  <si>
    <t>Tschermakita</t>
  </si>
  <si>
    <t>Tucholita</t>
  </si>
  <si>
    <t>Tulita</t>
  </si>
  <si>
    <t>Turmalina</t>
  </si>
  <si>
    <t>Turquesa</t>
  </si>
  <si>
    <t>Ulexita</t>
  </si>
  <si>
    <t>Ullmanita</t>
  </si>
  <si>
    <t>Ulvarovita</t>
  </si>
  <si>
    <t>Ulvoespinélio</t>
  </si>
  <si>
    <t>Uraninita</t>
  </si>
  <si>
    <t>Ussingita</t>
  </si>
  <si>
    <t>Uvarovita</t>
  </si>
  <si>
    <t>Vanadinita</t>
  </si>
  <si>
    <t>Variscita</t>
  </si>
  <si>
    <t>Varisscita</t>
  </si>
  <si>
    <t>Verdelita</t>
  </si>
  <si>
    <t>Verdita</t>
  </si>
  <si>
    <t>Vermiculita</t>
  </si>
  <si>
    <t>Vesuvianita</t>
  </si>
  <si>
    <t>Viliaumita</t>
  </si>
  <si>
    <t>Vitusita</t>
  </si>
  <si>
    <t>Vivianita</t>
  </si>
  <si>
    <t>Vuonemita</t>
  </si>
  <si>
    <t>Wadsleyita</t>
  </si>
  <si>
    <t>Wavellita</t>
  </si>
  <si>
    <t>Wernerita</t>
  </si>
  <si>
    <t>Willemita</t>
  </si>
  <si>
    <t>Willerita</t>
  </si>
  <si>
    <t>Willhendersonita</t>
  </si>
  <si>
    <t>Willyamita</t>
  </si>
  <si>
    <t>Witherita</t>
  </si>
  <si>
    <t>Woehlerita</t>
  </si>
  <si>
    <t>Wolframita</t>
  </si>
  <si>
    <t>Wollastonita</t>
  </si>
  <si>
    <t>Wulfenita</t>
  </si>
  <si>
    <t>Wurtzita</t>
  </si>
  <si>
    <t>Xanthofilita</t>
  </si>
  <si>
    <t>Xantoconita</t>
  </si>
  <si>
    <t>Xantossiderita</t>
  </si>
  <si>
    <t>Xenitimio</t>
  </si>
  <si>
    <t>Zeolita</t>
  </si>
  <si>
    <t>Zincita</t>
  </si>
  <si>
    <t>Zinkenita</t>
  </si>
  <si>
    <t>Zinnwaldita</t>
  </si>
  <si>
    <t>Zircão</t>
  </si>
  <si>
    <t>Zircônio</t>
  </si>
  <si>
    <t>Zirconita</t>
  </si>
  <si>
    <t>Zirsinalita</t>
  </si>
  <si>
    <t>Zoizita</t>
  </si>
  <si>
    <t>Tamanho (mm)</t>
  </si>
  <si>
    <t>DESC_ROCHA</t>
  </si>
  <si>
    <t>DES_TEXTURA_MICRO</t>
  </si>
  <si>
    <t>DES_ESTRUTURA_MICRO</t>
  </si>
  <si>
    <t>DES_ESTR_DEFORMACIONAL</t>
  </si>
  <si>
    <t>TIPO_ALTERACAO</t>
  </si>
  <si>
    <t>TIPO_METAMORF</t>
  </si>
  <si>
    <t>FACEIS_METAMORFISMO</t>
  </si>
  <si>
    <t>Actinolita anfibolito</t>
  </si>
  <si>
    <t>Acumulação de cristais</t>
  </si>
  <si>
    <t>Almofadada</t>
  </si>
  <si>
    <t>Brechada magmática</t>
  </si>
  <si>
    <t>Albitização</t>
  </si>
  <si>
    <t>Contato (Termal)</t>
  </si>
  <si>
    <t>Actinolita anfibolito gnáissico</t>
  </si>
  <si>
    <t>Afanítica</t>
  </si>
  <si>
    <t>Boudinada sedimentar</t>
  </si>
  <si>
    <t>Cataclástica</t>
  </si>
  <si>
    <t>Biotitização</t>
  </si>
  <si>
    <t>Dinâmico (Cataclástico)</t>
  </si>
  <si>
    <t>Fácies albita-epitodo hornfels</t>
  </si>
  <si>
    <t>Actinolita biotita metaquartzo diorito</t>
  </si>
  <si>
    <t>Alotriomórfica</t>
  </si>
  <si>
    <t>Dique clástico</t>
  </si>
  <si>
    <t>Crenulada</t>
  </si>
  <si>
    <t>Carbonatação</t>
  </si>
  <si>
    <t>Hidrotermal</t>
  </si>
  <si>
    <t>Fácies anfibolito</t>
  </si>
  <si>
    <t>Actinolita biotita metatonalito</t>
  </si>
  <si>
    <t>Alotriomórfica granular cataclástica</t>
  </si>
  <si>
    <t>Dobrada atectônica</t>
  </si>
  <si>
    <t>Foliada orientada</t>
  </si>
  <si>
    <t>Cloritização</t>
  </si>
  <si>
    <t>Impacto</t>
  </si>
  <si>
    <t>Fácies eclogito</t>
  </si>
  <si>
    <t>Actinolita biotita xisto</t>
  </si>
  <si>
    <t>Alotriomórfica inequigranular</t>
  </si>
  <si>
    <t>Estilolítica</t>
  </si>
  <si>
    <t>Gouge de falha</t>
  </si>
  <si>
    <t>Epidotização</t>
  </si>
  <si>
    <t>Regional (Dinamotermal)</t>
  </si>
  <si>
    <t>Fácies granulito</t>
  </si>
  <si>
    <t>Actinolita clorita xisto</t>
  </si>
  <si>
    <t>Alotriomórfica orientada</t>
  </si>
  <si>
    <t>Estriada de origem glacial</t>
  </si>
  <si>
    <t>Microbandada de cisalhamento compressional</t>
  </si>
  <si>
    <t>Feldspatização</t>
  </si>
  <si>
    <t>Fácies horblenda hornfels</t>
  </si>
  <si>
    <t>Actinolita epidosito</t>
  </si>
  <si>
    <t>Altromilonítica</t>
  </si>
  <si>
    <t>Flaser</t>
  </si>
  <si>
    <t>Microbandada de cisalhamento extensional</t>
  </si>
  <si>
    <t>Greisenização</t>
  </si>
  <si>
    <t>Fácies piroxênio hornfels</t>
  </si>
  <si>
    <t>Actinolita gnaisse calcissilicático</t>
  </si>
  <si>
    <t>Amigdaloidal</t>
  </si>
  <si>
    <t>Microbandada de cisalhamento transcorrente dextral</t>
  </si>
  <si>
    <t>Hematitização</t>
  </si>
  <si>
    <t>Fácies prehnita-pumpellyita</t>
  </si>
  <si>
    <t>Actinolita hornfels</t>
  </si>
  <si>
    <t>Anti-Rapakivi</t>
  </si>
  <si>
    <t>Greta de contração</t>
  </si>
  <si>
    <t>Microbandada de cisalhamento transcorrente sinistral</t>
  </si>
  <si>
    <t>Hornblendização</t>
  </si>
  <si>
    <t>Fácies sanidinito</t>
  </si>
  <si>
    <t>Actinolita metagrabro</t>
  </si>
  <si>
    <t>Aplítica</t>
  </si>
  <si>
    <t>Imbricamento de grãos</t>
  </si>
  <si>
    <t>Microbandada gnáissica</t>
  </si>
  <si>
    <t>Microclinização</t>
  </si>
  <si>
    <t>Fácies xisto azul</t>
  </si>
  <si>
    <t>Actinolita metamicrogabro</t>
  </si>
  <si>
    <t>Augen</t>
  </si>
  <si>
    <t>Maciça</t>
  </si>
  <si>
    <t>Microbandada milonítica</t>
  </si>
  <si>
    <t>Não especificado</t>
  </si>
  <si>
    <t>Fácies xisto verde</t>
  </si>
  <si>
    <t>Actinolita xisto</t>
  </si>
  <si>
    <t>Automórfíca granular a porfiroblástica</t>
  </si>
  <si>
    <t>Microacamadada ígnea tipo cumulato</t>
  </si>
  <si>
    <t>Microbrechada de falha</t>
  </si>
  <si>
    <t>Oxidação</t>
  </si>
  <si>
    <t>Zeolita (laumontita, heulandita)</t>
  </si>
  <si>
    <t>Actinolita-diopsídio gnaisse calcissilicático</t>
  </si>
  <si>
    <t>Bandada</t>
  </si>
  <si>
    <t>Microacamadada sedimentar</t>
  </si>
  <si>
    <t>Microbrechada hidrotermal</t>
  </si>
  <si>
    <t>Piritização</t>
  </si>
  <si>
    <t>Actinolita-epidoto gnaisse</t>
  </si>
  <si>
    <t>Bioclástica</t>
  </si>
  <si>
    <t>Microcavalgamento divergentes tipo pop up</t>
  </si>
  <si>
    <t>Potassificação</t>
  </si>
  <si>
    <t>Actinolita-epidoto quartzito</t>
  </si>
  <si>
    <t>Bíodetrítica</t>
  </si>
  <si>
    <t>Microacamadada vulcanoclástica</t>
  </si>
  <si>
    <t>Microcavalgamento tipo duplex</t>
  </si>
  <si>
    <t>Propilitização</t>
  </si>
  <si>
    <t>Actinolita-epidoto-feldspato quartzito</t>
  </si>
  <si>
    <t>Biodetrítica compacta</t>
  </si>
  <si>
    <t>Microbandada de cisalhamento</t>
  </si>
  <si>
    <t>Microcavalgamento tipo leques imbricados</t>
  </si>
  <si>
    <t>Saussuritização</t>
  </si>
  <si>
    <t>Actinolita-feldspato xisto</t>
  </si>
  <si>
    <t>Bioturbação incipiente</t>
  </si>
  <si>
    <t>Microbandada migmatítica</t>
  </si>
  <si>
    <t>Microcavalgamento tipo pilha antiformal</t>
  </si>
  <si>
    <t>Sericitização</t>
  </si>
  <si>
    <t>Actinolita-granada filito</t>
  </si>
  <si>
    <t>Bioturbação intensa</t>
  </si>
  <si>
    <t>Microcavalgamento tipo zona triangular</t>
  </si>
  <si>
    <t>Silicificação</t>
  </si>
  <si>
    <t>Actinolita-hiperstênio-hornblenda-diopsídio metaultramafito</t>
  </si>
  <si>
    <t>Bird's eyes</t>
  </si>
  <si>
    <t>Microbrechada magmática</t>
  </si>
  <si>
    <t>Microcisalhada compressional (inversa ou cavalgamento)</t>
  </si>
  <si>
    <t>Sulfetação</t>
  </si>
  <si>
    <t>Actinolita-muscovita xisto</t>
  </si>
  <si>
    <t>Blastomilonítica</t>
  </si>
  <si>
    <t>Microcisalhada</t>
  </si>
  <si>
    <t>Microcisalhada extensional (normal)</t>
  </si>
  <si>
    <t>Turmalinização</t>
  </si>
  <si>
    <t>Actinolita-ortoclásio-quartzo hornfels</t>
  </si>
  <si>
    <t>Microestratificada cruzada</t>
  </si>
  <si>
    <t>Microcisalhada indiscriminada</t>
  </si>
  <si>
    <t>Actinolita-quartzo-biotita filito</t>
  </si>
  <si>
    <t>Cataclástica em argamassa</t>
  </si>
  <si>
    <t>Microestratificada cruzada acanalada</t>
  </si>
  <si>
    <t>Microcisalhada transcorrente</t>
  </si>
  <si>
    <t>Actinolita-quartzo-biotita-muscovita filito</t>
  </si>
  <si>
    <t>Cataclástica heterogranular</t>
  </si>
  <si>
    <t>Microestratificada cruzada acanalada conchoidal</t>
  </si>
  <si>
    <t>Microcisalhada transcorrente dextral</t>
  </si>
  <si>
    <t>Actinolita-tremolita xisto</t>
  </si>
  <si>
    <t>Cataclástica lineada</t>
  </si>
  <si>
    <t>Microestratificada cruzada acanalada festoon</t>
  </si>
  <si>
    <t>Microcisalhada transpressional</t>
  </si>
  <si>
    <t>Actinolita-tremolita-flogopita xisto</t>
  </si>
  <si>
    <t>Cataclástica mortar</t>
  </si>
  <si>
    <t>Microestratificada cruzada de baixo ângulo</t>
  </si>
  <si>
    <t>Microcisalhada transpressional dextral</t>
  </si>
  <si>
    <t>Actinolita-tremolita-hornblenda anfibolito</t>
  </si>
  <si>
    <t>Cataclástica orientada</t>
  </si>
  <si>
    <t>Microestratificada cruzada epsion</t>
  </si>
  <si>
    <t>Microcisalhada transpressional sinistral</t>
  </si>
  <si>
    <t>Actinolita-zoisita xisto</t>
  </si>
  <si>
    <t>Cataclástica porfiroclástica</t>
  </si>
  <si>
    <t>Microestratificada cruzada espinha de peixe</t>
  </si>
  <si>
    <t>Microcisalhada transtracional</t>
  </si>
  <si>
    <t>Actinolitito</t>
  </si>
  <si>
    <t>Cataclástica protoclástica</t>
  </si>
  <si>
    <t>Microestratificada cruzada hummocky</t>
  </si>
  <si>
    <t>Microcisalhada transtracional dextral</t>
  </si>
  <si>
    <t>Adamelito cataclasítico</t>
  </si>
  <si>
    <t>Cataclástica xenoblástica</t>
  </si>
  <si>
    <t>Microestratificada cruzada tabular ou planar</t>
  </si>
  <si>
    <t>Microcisalhada transtracional sinistral</t>
  </si>
  <si>
    <t>Adamelito gnáissico milonítico</t>
  </si>
  <si>
    <t>Clástica</t>
  </si>
  <si>
    <t>Microestratificada cruzada tipo Swaley</t>
  </si>
  <si>
    <t>Microdobrada aberta (120° a 70°)</t>
  </si>
  <si>
    <t>Adamelito milonítico</t>
  </si>
  <si>
    <t>Clástica síltica</t>
  </si>
  <si>
    <t>Microestratificada cruzada xi</t>
  </si>
  <si>
    <t>Microdobrada apertada (30° a  0°)</t>
  </si>
  <si>
    <t>Adamelito porfíritico</t>
  </si>
  <si>
    <t>Cone-in-cone</t>
  </si>
  <si>
    <t>Microestratificada gradacional normal</t>
  </si>
  <si>
    <t>Microdobrada assimétrica</t>
  </si>
  <si>
    <t>Adamelito porfirítico cataclasítico</t>
  </si>
  <si>
    <t>Coronítica</t>
  </si>
  <si>
    <t>Microestratificada horizontal</t>
  </si>
  <si>
    <t>Adamelito porfirítico milonítico</t>
  </si>
  <si>
    <t>Corrosão (embayment)</t>
  </si>
  <si>
    <t>Microestratificada lenticular (linsen)</t>
  </si>
  <si>
    <t>Microdobrada de arrasto</t>
  </si>
  <si>
    <t>Adamelito protocataclasítico</t>
  </si>
  <si>
    <t>Costelas de estratificação cruzada acanalada</t>
  </si>
  <si>
    <t>Microestratificada maciça</t>
  </si>
  <si>
    <t>Microdobrada desarmônica</t>
  </si>
  <si>
    <t>Adamelito protomilonítico</t>
  </si>
  <si>
    <t>Cristalina</t>
  </si>
  <si>
    <t>Microestratificada ondulada (wave bedding)</t>
  </si>
  <si>
    <t>Microdobrada em leque</t>
  </si>
  <si>
    <t>Adamellito</t>
  </si>
  <si>
    <t>Cumulática</t>
  </si>
  <si>
    <t>Microestratificada paralela</t>
  </si>
  <si>
    <t>Microdobrada fechada (70° a 30°)</t>
  </si>
  <si>
    <t>Adulária leucogranito silicificado</t>
  </si>
  <si>
    <t>Desvitrificada</t>
  </si>
  <si>
    <t>Microestratificada plano-paralela</t>
  </si>
  <si>
    <t>Microdobrada horizontal</t>
  </si>
  <si>
    <t>Adulária-ortoclásio-biotita augengnaisse</t>
  </si>
  <si>
    <t>Diagranolepidoblástica</t>
  </si>
  <si>
    <t>Microestratificada rítmica</t>
  </si>
  <si>
    <t>Microdobrada inclinada</t>
  </si>
  <si>
    <t>Aegerina pseudoleucitolito</t>
  </si>
  <si>
    <t>Entelhamentos de cristais</t>
  </si>
  <si>
    <t>Microestratificada sigmóide</t>
  </si>
  <si>
    <t>Microdobrada intrafolial</t>
  </si>
  <si>
    <t>Aegirina álcali-feldspato sienito</t>
  </si>
  <si>
    <t>Equigranular</t>
  </si>
  <si>
    <t>Microestratificadacruzada cavalgante(clibbing)</t>
  </si>
  <si>
    <t>Microdobrada invertida</t>
  </si>
  <si>
    <t>Aegirina álcali-granito gnaisse</t>
  </si>
  <si>
    <t>Equigranular fino a porfirítico</t>
  </si>
  <si>
    <t>Microestratificadagradacional inversa</t>
  </si>
  <si>
    <t>Microdobrada isoclinal (0°)</t>
  </si>
  <si>
    <t>Aegirina-arfvedsonita monzonito</t>
  </si>
  <si>
    <t>Equigranular laminada</t>
  </si>
  <si>
    <t>Microfalhada atectônica</t>
  </si>
  <si>
    <t>Microdobrada normal</t>
  </si>
  <si>
    <t>Aegirina-riebeckita sienito alcalino porfirítico</t>
  </si>
  <si>
    <t>Equigranular orientada</t>
  </si>
  <si>
    <t>Microfoliada de borda de intrusão (ortognaissificação)</t>
  </si>
  <si>
    <t>Microdobrada paralela</t>
  </si>
  <si>
    <t>Afrikandito</t>
  </si>
  <si>
    <t>Equigranular xenomórfica</t>
  </si>
  <si>
    <t>Microfoliada de transposição</t>
  </si>
  <si>
    <t>Microdobrada parasítica tipo M</t>
  </si>
  <si>
    <t>Equiloblástica</t>
  </si>
  <si>
    <t>Microfoliada devido ao  fluxo magmático</t>
  </si>
  <si>
    <t>Microdobrada parasítica tipo S</t>
  </si>
  <si>
    <t>Aglomerado</t>
  </si>
  <si>
    <t>Estilólito</t>
  </si>
  <si>
    <t>Microfoliada devido ao estado sólido</t>
  </si>
  <si>
    <t>Microdobrada parasítica tipo Z</t>
  </si>
  <si>
    <t>Aillikito</t>
  </si>
  <si>
    <t>Estromatólitos colunares</t>
  </si>
  <si>
    <t>Microfoliada por processos metamórficos</t>
  </si>
  <si>
    <t>Microdobrada ptigmática</t>
  </si>
  <si>
    <t>Akerito</t>
  </si>
  <si>
    <t>Estromatólitos não-colunares</t>
  </si>
  <si>
    <t>Microlaminada convoluta</t>
  </si>
  <si>
    <t>Microdobrada reclinada</t>
  </si>
  <si>
    <t>Alaskito</t>
  </si>
  <si>
    <t>Fanerítica</t>
  </si>
  <si>
    <t>Microlaminada cruzada</t>
  </si>
  <si>
    <t>Microdobrada recumbente</t>
  </si>
  <si>
    <t>Alaskito adamelítico</t>
  </si>
  <si>
    <t>Microlaminada horizontal</t>
  </si>
  <si>
    <t>Microdobrada sem raiz</t>
  </si>
  <si>
    <t>Alaskito cataclástico</t>
  </si>
  <si>
    <t>Feições de cisalhamento</t>
  </si>
  <si>
    <t>Microlaminada plano-paralela</t>
  </si>
  <si>
    <t>Microdobrada simétrica</t>
  </si>
  <si>
    <t>Albita anatexito</t>
  </si>
  <si>
    <t>Fiamme ou flamé</t>
  </si>
  <si>
    <t>Microlaminada sigmoidal</t>
  </si>
  <si>
    <t>Microdobrada similar</t>
  </si>
  <si>
    <t>Albita anfibolito</t>
  </si>
  <si>
    <t>Fibrolamelar a lenticular laminada</t>
  </si>
  <si>
    <t>Microndulada</t>
  </si>
  <si>
    <t>Microdobrada suave (ângulo interlimbos: 180° a 120°)</t>
  </si>
  <si>
    <t>Albita epidosito</t>
  </si>
  <si>
    <t>Fibrolamelar laminada</t>
  </si>
  <si>
    <t>Orientada por seixos</t>
  </si>
  <si>
    <t>Microdobrada tipo bainha</t>
  </si>
  <si>
    <t>Albita fóide sienito</t>
  </si>
  <si>
    <t>Fibronematoblástica lepidoblástica</t>
  </si>
  <si>
    <t>Stockwork</t>
  </si>
  <si>
    <t>Microdobrada tipo caixa</t>
  </si>
  <si>
    <t>Albita fóide traquito</t>
  </si>
  <si>
    <t>Xistosa</t>
  </si>
  <si>
    <t>Microdobrada tipo chevron</t>
  </si>
  <si>
    <t>Albita gnaisse</t>
  </si>
  <si>
    <t>Fluidal</t>
  </si>
  <si>
    <t>Microdobrada tipo kink</t>
  </si>
  <si>
    <t>Albita granito</t>
  </si>
  <si>
    <t>Gerbe</t>
  </si>
  <si>
    <t>Microdobrada tipo rollover</t>
  </si>
  <si>
    <t>Albita sienito</t>
  </si>
  <si>
    <t>Glomerogranular</t>
  </si>
  <si>
    <t>Microdobrada vertical</t>
  </si>
  <si>
    <t>Albita traquito</t>
  </si>
  <si>
    <t>Glomeroporfirítica</t>
  </si>
  <si>
    <t>Microeixo de budins</t>
  </si>
  <si>
    <t>Albita-actinolita xisto</t>
  </si>
  <si>
    <t>Glomeroporfirítica hipidiomórfica</t>
  </si>
  <si>
    <t>Microeixo de lápis</t>
  </si>
  <si>
    <t>Albita-calcita-clorita xisto</t>
  </si>
  <si>
    <t>Glomeroporfirítica ofítica</t>
  </si>
  <si>
    <t>Microeixo de mullions</t>
  </si>
  <si>
    <t>Albita-epidoto hornfels</t>
  </si>
  <si>
    <t>Gnaíssica</t>
  </si>
  <si>
    <t>Microeixo de rods</t>
  </si>
  <si>
    <t>Albita-epidoto-calcita-plagioclásio-hornblenda metabasito</t>
  </si>
  <si>
    <t>Gráfica</t>
  </si>
  <si>
    <t>Microentelhamento de cristais</t>
  </si>
  <si>
    <t>Albita-muscovita-clorita xisto</t>
  </si>
  <si>
    <t>Granoblástica</t>
  </si>
  <si>
    <t>Microestriada de deslizamento flexural em dobras</t>
  </si>
  <si>
    <t>Albitito</t>
  </si>
  <si>
    <t>Granoblástica bandada</t>
  </si>
  <si>
    <t>Microestriada de falha (slickenlines)</t>
  </si>
  <si>
    <t>Álcali-basalto</t>
  </si>
  <si>
    <t>Granoblástica cataclástica</t>
  </si>
  <si>
    <t>Microfalhada contracional (inversa ou empurrão)</t>
  </si>
  <si>
    <t>Álcali-feldspato granito</t>
  </si>
  <si>
    <t>Granoblástica cataclástica orientada</t>
  </si>
  <si>
    <t>Microfalhada contracional lístrica</t>
  </si>
  <si>
    <t>Álcali-feldspato granito cataclástico</t>
  </si>
  <si>
    <t>Granoblástica decussada</t>
  </si>
  <si>
    <t>Microfalhada extensional (normal)</t>
  </si>
  <si>
    <t>Álcali-feldspato granito pórfirítico</t>
  </si>
  <si>
    <t>Granoblástica lepidoblástica</t>
  </si>
  <si>
    <t>Microfalhada extensional lístrica</t>
  </si>
  <si>
    <t>Álcali-feldspato granulito charnockítico</t>
  </si>
  <si>
    <t>Granoblástica orientada</t>
  </si>
  <si>
    <t>Microfalhada transcorrente</t>
  </si>
  <si>
    <t>Álcali-feldspato leucogranito</t>
  </si>
  <si>
    <t>Granoblástica poligonal</t>
  </si>
  <si>
    <t>Microfalhada transcorrente dextral</t>
  </si>
  <si>
    <t>Álcali-feldspato-hornblenda granito</t>
  </si>
  <si>
    <t>Granoblástica polisaturada</t>
  </si>
  <si>
    <t>Microfalhada transcorrente sinistral</t>
  </si>
  <si>
    <t>Álcali-granito</t>
  </si>
  <si>
    <t>Granoblástica xenoblástica</t>
  </si>
  <si>
    <t>Microfalhada transpressional</t>
  </si>
  <si>
    <t>Álcali-microgranito</t>
  </si>
  <si>
    <t>Granoclástica</t>
  </si>
  <si>
    <t>Microfalhada transpressional dextral</t>
  </si>
  <si>
    <t>Álcali-sienito cataclástico</t>
  </si>
  <si>
    <t>Granoclástica e granolepidoclástica</t>
  </si>
  <si>
    <t>Microfalhada transpressional sinistral</t>
  </si>
  <si>
    <t>Álcali-sienito gnaisse</t>
  </si>
  <si>
    <t>Granoclástica lepidoblástica</t>
  </si>
  <si>
    <t>Microfalhada transtracional</t>
  </si>
  <si>
    <t>Alnoito</t>
  </si>
  <si>
    <t>Granolepidoblástica</t>
  </si>
  <si>
    <t>Microfalhada transtracional dextral</t>
  </si>
  <si>
    <t>Alúvio</t>
  </si>
  <si>
    <t>Granolepidoblástica alotriomórfica heterogranular</t>
  </si>
  <si>
    <t>Microfalhada transtracional sinistral</t>
  </si>
  <si>
    <t>Andesito</t>
  </si>
  <si>
    <t>Granolepidoblástica bandada</t>
  </si>
  <si>
    <t>Microfoliada</t>
  </si>
  <si>
    <t>Andesito basáltico</t>
  </si>
  <si>
    <t>Granolepidoblástica cataclástica</t>
  </si>
  <si>
    <t>Andesito porfirítico</t>
  </si>
  <si>
    <t>Granolepidoblástica heterogranoblástica</t>
  </si>
  <si>
    <t>Microfoliada milonítica</t>
  </si>
  <si>
    <t>Andesitóide</t>
  </si>
  <si>
    <t>Granolepidoblástica heterogranular</t>
  </si>
  <si>
    <t>Microfoliada tipo C</t>
  </si>
  <si>
    <t>Anfibólio xisto</t>
  </si>
  <si>
    <t>Granolepidoblástica hipidioblástica</t>
  </si>
  <si>
    <t>Microfoliada tipo C'</t>
  </si>
  <si>
    <t>Anfibólio-biotita monzogranito</t>
  </si>
  <si>
    <t>Granolepidoblástica hipidiomórfica</t>
  </si>
  <si>
    <t>Microfoliada tipo S</t>
  </si>
  <si>
    <t>Anfibólio-biotita sienogranito</t>
  </si>
  <si>
    <t>Granolepidoblástica lineada</t>
  </si>
  <si>
    <t>Microfraturada de cisalhamento P</t>
  </si>
  <si>
    <t>Anfibólio-quartzo xisto</t>
  </si>
  <si>
    <t>Granolepidoblástica orientada</t>
  </si>
  <si>
    <t>Microfraturada de cisalhamento R (Riedel)</t>
  </si>
  <si>
    <t>Anfibolito</t>
  </si>
  <si>
    <t>Granolepidoblástica porfiroblástica</t>
  </si>
  <si>
    <t>Microfraturada de cisalhamento R'(anti-Riedel)</t>
  </si>
  <si>
    <t>Anortosito</t>
  </si>
  <si>
    <t>Granolepidoblástica porfiroblástica cataclástica</t>
  </si>
  <si>
    <t>Microfraturada de cisalhamento X</t>
  </si>
  <si>
    <t>Antofilita-cordierita xisto</t>
  </si>
  <si>
    <t>Granolepidoblástica xenoblástica</t>
  </si>
  <si>
    <t>Microfraturada de cisalhamento Y</t>
  </si>
  <si>
    <t>Antracito</t>
  </si>
  <si>
    <t>Granolepidoblástica xenoblástica cataclástica</t>
  </si>
  <si>
    <t>Micropillow lava</t>
  </si>
  <si>
    <t>Apatita clinopiroxenito</t>
  </si>
  <si>
    <t>Granolepidoblástica xenoblástica porfiroclástíca</t>
  </si>
  <si>
    <t>Microredobramento tipo bumerangue</t>
  </si>
  <si>
    <t>Apatita fosteritito</t>
  </si>
  <si>
    <t>Granonematoblástica</t>
  </si>
  <si>
    <t>Microredobramento tipo domos e bacias</t>
  </si>
  <si>
    <t>Apatita magnetitito</t>
  </si>
  <si>
    <t>Granonematoblástica cataclástica</t>
  </si>
  <si>
    <t>Microredobramento tipo laço (coaxial)</t>
  </si>
  <si>
    <t>Apatita peridotito</t>
  </si>
  <si>
    <t>Granonematoblástica orientada</t>
  </si>
  <si>
    <t>Microtectonito L</t>
  </si>
  <si>
    <t>Apatita perovskito</t>
  </si>
  <si>
    <t>Granonematoblástica xenoblástica</t>
  </si>
  <si>
    <t>Microtectonito LS</t>
  </si>
  <si>
    <t>Apatita-hornblenda hidrotermalito</t>
  </si>
  <si>
    <t>Granonematoblástica xenoblástica cataclástica</t>
  </si>
  <si>
    <t>Microtectonito S</t>
  </si>
  <si>
    <t>Apatitito</t>
  </si>
  <si>
    <t>Granoporfiroblástica</t>
  </si>
  <si>
    <t>Microveio de cisalhamento</t>
  </si>
  <si>
    <t>Aplito</t>
  </si>
  <si>
    <t>Granular</t>
  </si>
  <si>
    <t>Microveio extensional</t>
  </si>
  <si>
    <t>Arcóseo</t>
  </si>
  <si>
    <t>Granular alotriomórfica</t>
  </si>
  <si>
    <t>Microveio híbrido</t>
  </si>
  <si>
    <t>Arcóseo lítico</t>
  </si>
  <si>
    <t>Granular automórfica</t>
  </si>
  <si>
    <t>Microveio irregular</t>
  </si>
  <si>
    <t>Ardósia</t>
  </si>
  <si>
    <t>Granular hipidiomórfica ou hiaputomórfica</t>
  </si>
  <si>
    <t>Microveio laminado</t>
  </si>
  <si>
    <t>Areia</t>
  </si>
  <si>
    <t>Granular hipoautomórfica</t>
  </si>
  <si>
    <t>Microveios escalonados (tension gashes)</t>
  </si>
  <si>
    <t>Areia arcoseana</t>
  </si>
  <si>
    <t>Granular ofítica</t>
  </si>
  <si>
    <t>Microveios multidirecionais</t>
  </si>
  <si>
    <t>Arenito</t>
  </si>
  <si>
    <t>Granular orientada</t>
  </si>
  <si>
    <t>Microxistosidade</t>
  </si>
  <si>
    <t>Arenito arcoseano</t>
  </si>
  <si>
    <t>Granular orientada cataclástica</t>
  </si>
  <si>
    <t>Arenito calcífero</t>
  </si>
  <si>
    <t>Granular panidiomórfica ou panautomórfica</t>
  </si>
  <si>
    <t>Arenito conglomerático</t>
  </si>
  <si>
    <t>Granular poiquilítica</t>
  </si>
  <si>
    <t>Arenito epiclástico</t>
  </si>
  <si>
    <t>Granular subidioblástica</t>
  </si>
  <si>
    <t>Arenito feldspático</t>
  </si>
  <si>
    <t>Granular xenomórfica</t>
  </si>
  <si>
    <t>Arenito fino</t>
  </si>
  <si>
    <t>Gretas de contração</t>
  </si>
  <si>
    <t>Arenito lítico</t>
  </si>
  <si>
    <t>Hetcrogranoclástica granolepidoblástica</t>
  </si>
  <si>
    <t>Arenito micáceo</t>
  </si>
  <si>
    <t>Heteroblástica</t>
  </si>
  <si>
    <t>Arenito síltico-argiloso</t>
  </si>
  <si>
    <t>Heterocataclástica</t>
  </si>
  <si>
    <t>Arenito tufáceo</t>
  </si>
  <si>
    <t>Heteroclástica a xistosa</t>
  </si>
  <si>
    <t>Argila</t>
  </si>
  <si>
    <t>Heterocranolepidoblástica</t>
  </si>
  <si>
    <t>Argilito</t>
  </si>
  <si>
    <t>Heterogranoblástica</t>
  </si>
  <si>
    <t>Argilito (Rocha epiclástica)</t>
  </si>
  <si>
    <t>Heterogranoblástica a granolepidoblástica</t>
  </si>
  <si>
    <t>Argilito arenoso</t>
  </si>
  <si>
    <t>Heterogranoblástica a poiquiloblástica</t>
  </si>
  <si>
    <t>Argilito conglomerático (Rocha epiclástica)</t>
  </si>
  <si>
    <t>Heterogranoblástica a porfiroblástica</t>
  </si>
  <si>
    <t>Argilito síltico</t>
  </si>
  <si>
    <t>Heterogranoblástica a porfiroblástica cataclástica</t>
  </si>
  <si>
    <t>Augen gnaisse</t>
  </si>
  <si>
    <t>Heterogranoblástica cataclástica</t>
  </si>
  <si>
    <t>Augen gnaisse milonítico</t>
  </si>
  <si>
    <t>Heterogranoblástica cataclástica metassomática</t>
  </si>
  <si>
    <t>Augita álcali-feldspato sienito</t>
  </si>
  <si>
    <t>Heterogranoblástica cataclástica orientada</t>
  </si>
  <si>
    <t>Augita álcali-granito</t>
  </si>
  <si>
    <t>Heterogranoblástica grossa</t>
  </si>
  <si>
    <t>Auto-brecha</t>
  </si>
  <si>
    <t>Heterogranoblástica iiietassoinática grossa</t>
  </si>
  <si>
    <t>Basalto</t>
  </si>
  <si>
    <t>Heterogranoblástica metassomática</t>
  </si>
  <si>
    <t>Basalto andesítico</t>
  </si>
  <si>
    <t>Heterogranoblástica metassomática orientada</t>
  </si>
  <si>
    <t>Basalto fonolítico</t>
  </si>
  <si>
    <t>Heterogranoblástica orientada</t>
  </si>
  <si>
    <t>Basalto komatiítico</t>
  </si>
  <si>
    <t>Heterogranoblástica porfiroblástica</t>
  </si>
  <si>
    <t>Basalto tholeiítico</t>
  </si>
  <si>
    <t>Heterogránoblástica xenoblástica</t>
  </si>
  <si>
    <t>Basanito</t>
  </si>
  <si>
    <t>Heterogranoclástica</t>
  </si>
  <si>
    <t>Bebedourito</t>
  </si>
  <si>
    <t>Heterogranoclástíca lepidoblástica</t>
  </si>
  <si>
    <t>Benmoreíto</t>
  </si>
  <si>
    <t>Heterogranoclástica metassomática orientada</t>
  </si>
  <si>
    <t>Bergalito</t>
  </si>
  <si>
    <t>Heterogranoclástica orientada</t>
  </si>
  <si>
    <t>Biocalcarenito</t>
  </si>
  <si>
    <t>Heterogranoiiematoblástíca orientada</t>
  </si>
  <si>
    <t>Bioesparito</t>
  </si>
  <si>
    <t>Heterogranolepidoblástica cataclástica</t>
  </si>
  <si>
    <t>Bioesparrudito</t>
  </si>
  <si>
    <t>Heterogranolepidoblástica metassomática</t>
  </si>
  <si>
    <t>Biolitito</t>
  </si>
  <si>
    <t>Heterogranolepidoclástica</t>
  </si>
  <si>
    <t>Biomicrito</t>
  </si>
  <si>
    <t>Heterogranoneniatoblástica poiquilítica orientada</t>
  </si>
  <si>
    <t>Biomicroesparito</t>
  </si>
  <si>
    <t>Heterogranular</t>
  </si>
  <si>
    <t>Biomicrudito</t>
  </si>
  <si>
    <t>Heterogranular a porfiroblástica</t>
  </si>
  <si>
    <t>Biopelesparito</t>
  </si>
  <si>
    <t>Heterogranular a subofítica</t>
  </si>
  <si>
    <t>Biopelmicrito</t>
  </si>
  <si>
    <t>Heterogranular alotriomórfica</t>
  </si>
  <si>
    <t>Biosparrudito</t>
  </si>
  <si>
    <t>Heterogranular alotriomórfica cataclástica</t>
  </si>
  <si>
    <t>Biotita álcali-feldspato granito</t>
  </si>
  <si>
    <t>Heterogranular cataclástica</t>
  </si>
  <si>
    <t>Biotita gabro</t>
  </si>
  <si>
    <t>Heterogranular cataclástica orientada</t>
  </si>
  <si>
    <t>Biotita gnaisse</t>
  </si>
  <si>
    <t>Heterogranular com áreas intersticiais cataclásticas</t>
  </si>
  <si>
    <t>Biotita gnaisse enderbítico</t>
  </si>
  <si>
    <t>Heterogranular grosseira</t>
  </si>
  <si>
    <t>Biotita gnaisse fino</t>
  </si>
  <si>
    <t>Heterogranular grosseira a porfirítica</t>
  </si>
  <si>
    <t>Biotita gnaisse milonítico</t>
  </si>
  <si>
    <t>Heterogranular hipidiomórfica cataclasada</t>
  </si>
  <si>
    <t>Biotita granito</t>
  </si>
  <si>
    <t>Heterogranular hipidiomórfica grosseira</t>
  </si>
  <si>
    <t>Biotita granito com cordierita</t>
  </si>
  <si>
    <t>Heterogranular hipidiomórfica rnetassomática</t>
  </si>
  <si>
    <t>Biotita granito com sillimanita</t>
  </si>
  <si>
    <t>Heterogranular hipidiomórflca</t>
  </si>
  <si>
    <t>Biotita granito porfirítico</t>
  </si>
  <si>
    <t>Heterogranular orientada</t>
  </si>
  <si>
    <t>Biotita granitóide com cordierita</t>
  </si>
  <si>
    <t>Heterogranular poíquilítica</t>
  </si>
  <si>
    <t>Biotita granitóide com sillimanita</t>
  </si>
  <si>
    <t>Heterogranular subofítica a hipoautomórfica</t>
  </si>
  <si>
    <t>Biotita granodiorito</t>
  </si>
  <si>
    <t>Heterogranular xenomórfica</t>
  </si>
  <si>
    <t>Biotita granodiorito gnáissico</t>
  </si>
  <si>
    <t>Heterogratiolepidoblástica orientada</t>
  </si>
  <si>
    <t>Biotita granodiorito protomilonítico</t>
  </si>
  <si>
    <t>Heteroporfiroclástica</t>
  </si>
  <si>
    <t>Biotita granulito charnockítico</t>
  </si>
  <si>
    <t>Hialoclástica</t>
  </si>
  <si>
    <t>Biotita leucogranito</t>
  </si>
  <si>
    <t>Hialofítica</t>
  </si>
  <si>
    <t>Biotita metagranito</t>
  </si>
  <si>
    <t>Hipidioblástica</t>
  </si>
  <si>
    <t>Biotita monzogranito</t>
  </si>
  <si>
    <t>Hipidioblástica orientada</t>
  </si>
  <si>
    <t>Biotita monzonito</t>
  </si>
  <si>
    <t>Hipidiomórfica</t>
  </si>
  <si>
    <t>Biotita muscovita granito</t>
  </si>
  <si>
    <t>Hipidiomórfica a subofítica</t>
  </si>
  <si>
    <t>Biotita quartzito</t>
  </si>
  <si>
    <t>Hipidiomórfica cataclástica</t>
  </si>
  <si>
    <t>Biotita sienogranito</t>
  </si>
  <si>
    <t>Hípidiomórfica cataclástíca grosseira</t>
  </si>
  <si>
    <t>Biotita tonalito</t>
  </si>
  <si>
    <t>Hipidiomórfica granular</t>
  </si>
  <si>
    <t>Biotita tonalito gnáissico</t>
  </si>
  <si>
    <t>Hipidiomórfica granular a porfiroblástica</t>
  </si>
  <si>
    <t>Biotita trondhjemito gnáissico</t>
  </si>
  <si>
    <t>Hipidiomórfica granular cataclástica</t>
  </si>
  <si>
    <t>Biotita xisto</t>
  </si>
  <si>
    <t>Hipidiomórfica granular grosseira</t>
  </si>
  <si>
    <t>Biotita yakutito</t>
  </si>
  <si>
    <t>Hipidiomórfica grosseira</t>
  </si>
  <si>
    <t>Biotita-álcali-feldspato granulito</t>
  </si>
  <si>
    <t>Hípidiomórfica orientada</t>
  </si>
  <si>
    <t>Biotita-anfibólio gnaisse</t>
  </si>
  <si>
    <t>Hipidiomórfica porfirítica</t>
  </si>
  <si>
    <t>Biotita-anfibólio monzogranito</t>
  </si>
  <si>
    <t>Hipidiomórfica serial</t>
  </si>
  <si>
    <t>Biotita-anfibólio sienogranito</t>
  </si>
  <si>
    <t>Hipldiomórfica granular a granoblástica</t>
  </si>
  <si>
    <t>Biotita-anfibólio xisto</t>
  </si>
  <si>
    <t>Hipoautomórfica granular com crescimento gráfico</t>
  </si>
  <si>
    <t>Biotita-granada gnaisse</t>
  </si>
  <si>
    <t>Hipocristalina</t>
  </si>
  <si>
    <t>Biotita-granada granito com sillimanita</t>
  </si>
  <si>
    <t>Hipovítrea</t>
  </si>
  <si>
    <t>Biotita-granada leucogranito</t>
  </si>
  <si>
    <t>Holocristalina</t>
  </si>
  <si>
    <t>Biotita-granada paragnaisse</t>
  </si>
  <si>
    <t>Holovítrea</t>
  </si>
  <si>
    <t>Biotita-granada-muscovita granito com cordierita</t>
  </si>
  <si>
    <t>Hornfélsica</t>
  </si>
  <si>
    <t>Biotita-granada-muscovita granitóide com cordierita</t>
  </si>
  <si>
    <t>Idioblástica</t>
  </si>
  <si>
    <t>Biotita-granada-muscovita-cianita xisto</t>
  </si>
  <si>
    <t>Idiomórfica</t>
  </si>
  <si>
    <t>Biotita-hornblenda adamellito cataclástico</t>
  </si>
  <si>
    <t>Ignimbrítica</t>
  </si>
  <si>
    <t>Biotita-hornblenda diorito</t>
  </si>
  <si>
    <t>Imbricação de clastos</t>
  </si>
  <si>
    <t>Biotita-hornblenda gnaisse</t>
  </si>
  <si>
    <t>Inequigranular</t>
  </si>
  <si>
    <t>Biotita-hornblenda granito</t>
  </si>
  <si>
    <t>Inequigranular a porfirítica</t>
  </si>
  <si>
    <t>Biotita-hornblenda granodiorito</t>
  </si>
  <si>
    <t>Inequigranular automórfica</t>
  </si>
  <si>
    <t>Biotita-hornblenda monzonito</t>
  </si>
  <si>
    <t>Biotita-hornblenda tonalito gnáissico</t>
  </si>
  <si>
    <t>Inequigranular cataclástica</t>
  </si>
  <si>
    <t>Biotita-hornblenda-ortopiroxênio gnaisse</t>
  </si>
  <si>
    <t>Inequigranular porfirítica</t>
  </si>
  <si>
    <t>Biotita-muscovita-quartzo xisto</t>
  </si>
  <si>
    <t>Inequigranular porfiroblástica</t>
  </si>
  <si>
    <t>Biotita-ortopiroxênio gnaisse</t>
  </si>
  <si>
    <t>Inequigranular xenoblástica orientada</t>
  </si>
  <si>
    <t>Biotita-ortopiroxênio-granada gnaisse</t>
  </si>
  <si>
    <t>Inequiloblástica</t>
  </si>
  <si>
    <t>Biotita-ortopiroxênio-hornblenda gnaisse</t>
  </si>
  <si>
    <t>Intergranular</t>
  </si>
  <si>
    <t>Biotita-quartzo xisto</t>
  </si>
  <si>
    <t>Intersertal</t>
  </si>
  <si>
    <t>Biotita-sericita milonito</t>
  </si>
  <si>
    <t>Intraclastos</t>
  </si>
  <si>
    <t>Biotita-sillimanita gnaisse</t>
  </si>
  <si>
    <t>Isogranoblástica</t>
  </si>
  <si>
    <t>Biotitito</t>
  </si>
  <si>
    <t>Junta de alívio de carga</t>
  </si>
  <si>
    <t>Boninito</t>
  </si>
  <si>
    <t>Junta de cisalhamento</t>
  </si>
  <si>
    <t>Borolanito</t>
  </si>
  <si>
    <t>Junta estilolítica</t>
  </si>
  <si>
    <t>Brecha carbonática</t>
  </si>
  <si>
    <t>Junta extensional</t>
  </si>
  <si>
    <t>Brecha cataclástica</t>
  </si>
  <si>
    <t>Junta híbrida</t>
  </si>
  <si>
    <t>Brecha de colapso</t>
  </si>
  <si>
    <t>Juntas colunares</t>
  </si>
  <si>
    <t>Brecha de impacto de matriz fundida (Süevito)</t>
  </si>
  <si>
    <t>Juntas de resfriamento</t>
  </si>
  <si>
    <t>Brecha hidraúlica</t>
  </si>
  <si>
    <t>Laminação convoluta</t>
  </si>
  <si>
    <t>Brecha hidrotermal</t>
  </si>
  <si>
    <t>Laminação cruzada</t>
  </si>
  <si>
    <t>Brecha magmática</t>
  </si>
  <si>
    <t>Laminação cruzada de ondas</t>
  </si>
  <si>
    <t>Brecha momíctica de impacto</t>
  </si>
  <si>
    <t>Laminação horizontal</t>
  </si>
  <si>
    <t>Brecha piroclástica</t>
  </si>
  <si>
    <t>Laminação plano-paralela</t>
  </si>
  <si>
    <t>Brecha polimíctica de impacto</t>
  </si>
  <si>
    <t>Laminação sigmoidal</t>
  </si>
  <si>
    <t>Brecha riodacítica</t>
  </si>
  <si>
    <t>Lepidoblástica</t>
  </si>
  <si>
    <t>Brecha sedimentar</t>
  </si>
  <si>
    <t>Lepidoblástica crenulada</t>
  </si>
  <si>
    <t>Brecha tufácea</t>
  </si>
  <si>
    <t>Lepidoblástica poiquiloblástica</t>
  </si>
  <si>
    <t>Brecha vulcanossedimentar</t>
  </si>
  <si>
    <t>Lepidoblástica porfiroblástica</t>
  </si>
  <si>
    <t>Calcarenito</t>
  </si>
  <si>
    <t>Lepidogranobiástica deformada</t>
  </si>
  <si>
    <t>Calcarenito calcilutítico</t>
  </si>
  <si>
    <t>Lepidogranoblástica</t>
  </si>
  <si>
    <t>Calcarenito lítico</t>
  </si>
  <si>
    <t>Lepidogranoclástica orientada</t>
  </si>
  <si>
    <t>Calcário</t>
  </si>
  <si>
    <t>Lepidonematoblástica</t>
  </si>
  <si>
    <t>Calcário aloquímico</t>
  </si>
  <si>
    <t>Lineação B (eixo de dobra)</t>
  </si>
  <si>
    <t>Calcário calcítico</t>
  </si>
  <si>
    <t>Lineação de corrente</t>
  </si>
  <si>
    <t>Calcário coquinóide</t>
  </si>
  <si>
    <t>Lineação de estiramento</t>
  </si>
  <si>
    <t>Calcário cristalino</t>
  </si>
  <si>
    <t>Lineação de fluxo magmático (minerais ou enclaves)</t>
  </si>
  <si>
    <t>Calcário dolomítico</t>
  </si>
  <si>
    <t>Lineação de interseção entre acamadamento e clivagem</t>
  </si>
  <si>
    <t>Calcário estromatolítico</t>
  </si>
  <si>
    <t>Lineação de interseção entre foliações ou clivagens</t>
  </si>
  <si>
    <t>Calcário magnesiano</t>
  </si>
  <si>
    <t>Lineação de minerais alongados em veios</t>
  </si>
  <si>
    <t>Calcário oolítico</t>
  </si>
  <si>
    <t>Lineação mineral</t>
  </si>
  <si>
    <t>Calcário recifal</t>
  </si>
  <si>
    <t>Maculada</t>
  </si>
  <si>
    <t>Calcário silicificado</t>
  </si>
  <si>
    <t>Marcas de carga</t>
  </si>
  <si>
    <t>Calcedonito</t>
  </si>
  <si>
    <t>Marcas de impacto</t>
  </si>
  <si>
    <t>Calcifilito</t>
  </si>
  <si>
    <t>Marcas de objetos e sulcos</t>
  </si>
  <si>
    <t>Calcilutito</t>
  </si>
  <si>
    <t>Marcas onduladas assimétricas</t>
  </si>
  <si>
    <t>Calcilutito calcarenítico</t>
  </si>
  <si>
    <t>Marcas onduladas de crista reta</t>
  </si>
  <si>
    <t>Calcilutito fossilífero</t>
  </si>
  <si>
    <t>Marcas onduladas linguóides</t>
  </si>
  <si>
    <t>Calciocarbonatito</t>
  </si>
  <si>
    <t>Marcas onduladas simétricas</t>
  </si>
  <si>
    <t>Calcirrudito</t>
  </si>
  <si>
    <t>Mesch</t>
  </si>
  <si>
    <t>Calcissiltito</t>
  </si>
  <si>
    <t>Mesopertítica</t>
  </si>
  <si>
    <t>Calcrete</t>
  </si>
  <si>
    <t>Miarolítica</t>
  </si>
  <si>
    <t>Cancrinita anortosito</t>
  </si>
  <si>
    <t>Microbrecha de falha</t>
  </si>
  <si>
    <t>Cancrinita diorito</t>
  </si>
  <si>
    <t>Microbrecha hidrotermal</t>
  </si>
  <si>
    <t>Cancrinita gabro</t>
  </si>
  <si>
    <t>Microbrechada</t>
  </si>
  <si>
    <t>Cancrinita monzodiorito</t>
  </si>
  <si>
    <t>Microcavidades preenchidas</t>
  </si>
  <si>
    <t>Cancrinita monzogabro</t>
  </si>
  <si>
    <t>Microcavidades vazias</t>
  </si>
  <si>
    <t>Cancrinita sienito</t>
  </si>
  <si>
    <t>Microclivagem ardosiana</t>
  </si>
  <si>
    <t>Cancrinita sienitóide</t>
  </si>
  <si>
    <t>Microclivagem de crenulação</t>
  </si>
  <si>
    <t>Cancrinita-microclínio sienito</t>
  </si>
  <si>
    <t>Microclivagem de fratura</t>
  </si>
  <si>
    <t>Cancrinita-ortoclásio sienito</t>
  </si>
  <si>
    <t>Microclivagem de solução por pressão</t>
  </si>
  <si>
    <t>Carbonatito</t>
  </si>
  <si>
    <t>Microconcreções ou nódulos</t>
  </si>
  <si>
    <t>Carbonatito extrusivo</t>
  </si>
  <si>
    <t>Microcrenulada</t>
  </si>
  <si>
    <t>Carvão</t>
  </si>
  <si>
    <t>Microdisconformidade</t>
  </si>
  <si>
    <t>Cascalho</t>
  </si>
  <si>
    <t>Microdiscordância angular</t>
  </si>
  <si>
    <t>Cataclasito</t>
  </si>
  <si>
    <t>Microdobra aberta (120° a 70°)</t>
  </si>
  <si>
    <t>Charnockito</t>
  </si>
  <si>
    <t>Microdobra apertada (30° a  0°)</t>
  </si>
  <si>
    <t>Charnoenderbito</t>
  </si>
  <si>
    <t>Microdobra assimétrica</t>
  </si>
  <si>
    <t>Chert</t>
  </si>
  <si>
    <t>Microdobra de arrasto</t>
  </si>
  <si>
    <t>Chert calcítico</t>
  </si>
  <si>
    <t>Microdobra desarmônica</t>
  </si>
  <si>
    <t>Chert dolomítico</t>
  </si>
  <si>
    <t>Microdobra em leque</t>
  </si>
  <si>
    <t>Cianita-granada-biotita gnaisse</t>
  </si>
  <si>
    <t>Microdobra fechada (70° a 30°)</t>
  </si>
  <si>
    <t>Cianita-granada-biotita-muscovita xisto</t>
  </si>
  <si>
    <t>Microdobra horizontal</t>
  </si>
  <si>
    <t>Cianita-granada-biotita-muscovita-quartzo xisto</t>
  </si>
  <si>
    <t>Microdobra inclinada</t>
  </si>
  <si>
    <t>Cinza vítrea</t>
  </si>
  <si>
    <t>Microdobra intrafolial</t>
  </si>
  <si>
    <t>Clinopiroxênio álcali-feldspato granito</t>
  </si>
  <si>
    <t>Microdobra invertida</t>
  </si>
  <si>
    <t>Clinopiroxênio norito</t>
  </si>
  <si>
    <t>Microdobra isoclinal (0°)</t>
  </si>
  <si>
    <t>Clinopiroxênio olivina melilitolito</t>
  </si>
  <si>
    <t>Microdobra normal</t>
  </si>
  <si>
    <t>Clinopiroxênio-hornblenda monzonito</t>
  </si>
  <si>
    <t>Microdobra paralela</t>
  </si>
  <si>
    <t>Clinopiroxênio-hornblenda-biotita gnaisse</t>
  </si>
  <si>
    <t>Microdobra parasítica tipo M</t>
  </si>
  <si>
    <t>Clinopiroxenito</t>
  </si>
  <si>
    <t>Microdobra parasítica tipo S</t>
  </si>
  <si>
    <t>Clinopiroxenito portador de plagioclásio</t>
  </si>
  <si>
    <t>Microdobra parasítica tipo Z</t>
  </si>
  <si>
    <t>Clorita xisto</t>
  </si>
  <si>
    <t>Microdobra ptigmática</t>
  </si>
  <si>
    <t>Clorita-muscovita xisto</t>
  </si>
  <si>
    <t>Microdobra recumbente</t>
  </si>
  <si>
    <t>Clorita-muscovita-quartzo xisto</t>
  </si>
  <si>
    <t>Microdobra sem raiz</t>
  </si>
  <si>
    <t>Cloritito</t>
  </si>
  <si>
    <t>Microdobra simétrica</t>
  </si>
  <si>
    <t>Cloritóide-grafita-muscovita-quartzo xisto</t>
  </si>
  <si>
    <t>Microdobra similar</t>
  </si>
  <si>
    <t>Cloritóide-muscovita-grafita-quartzo xisto</t>
  </si>
  <si>
    <t>Microdobra suave (ângulo interlimbos: 180° a 120°)</t>
  </si>
  <si>
    <t>Colúvio</t>
  </si>
  <si>
    <t>Microdobra tipo bainha</t>
  </si>
  <si>
    <t>Comendito</t>
  </si>
  <si>
    <t>Microdobra tipo caixa</t>
  </si>
  <si>
    <t>Conglomerado</t>
  </si>
  <si>
    <t>Microdobra tipo chevron</t>
  </si>
  <si>
    <t>Conglomerado oligomítico</t>
  </si>
  <si>
    <t>Microdobra tipo kink</t>
  </si>
  <si>
    <t>Conglomerado polimítico</t>
  </si>
  <si>
    <t>Microdobra tipo rollover</t>
  </si>
  <si>
    <t>Conglomerado suportado por clastos</t>
  </si>
  <si>
    <t>Microenclaves</t>
  </si>
  <si>
    <t>Conglomerado suportado por matriz</t>
  </si>
  <si>
    <t>Microestrias de falha (slickenlines)</t>
  </si>
  <si>
    <t>Coppaelito</t>
  </si>
  <si>
    <t>Microestrias glaciais</t>
  </si>
  <si>
    <t>Coquina</t>
  </si>
  <si>
    <t>Microfalha contracional (inversa ou empurrão)</t>
  </si>
  <si>
    <t>Cordierita álcali-feldspato granulito</t>
  </si>
  <si>
    <t>Microfalha contracional aproximada</t>
  </si>
  <si>
    <t>Cordierita-granada-biotita leucogranito</t>
  </si>
  <si>
    <t>Microfalha contracional lístrica</t>
  </si>
  <si>
    <t>Cromitito</t>
  </si>
  <si>
    <t>Microfalha extensional (normal)</t>
  </si>
  <si>
    <t>Dacito</t>
  </si>
  <si>
    <t>Microfalha extensional aproximada</t>
  </si>
  <si>
    <t>Diabásio</t>
  </si>
  <si>
    <t>Microfalha extensional da seção sedimentar-Margem Continental</t>
  </si>
  <si>
    <t>Diamictito</t>
  </si>
  <si>
    <t>Microfalha extensional do embasamento-Margem Continental</t>
  </si>
  <si>
    <t>Diatexito</t>
  </si>
  <si>
    <t>Microfalha extensional emersa-Margem Continental</t>
  </si>
  <si>
    <t>Diatomito</t>
  </si>
  <si>
    <t>Microfalha extensional encoberta</t>
  </si>
  <si>
    <t>Diopsdio magnetitito</t>
  </si>
  <si>
    <t>Microfalha extensional lístrica</t>
  </si>
  <si>
    <t>Diopsidio Apatitito</t>
  </si>
  <si>
    <t>Microfalha indiscriminada</t>
  </si>
  <si>
    <t>Diopsidio leucita flogopita lamproito</t>
  </si>
  <si>
    <t>Microfalha transcorrente</t>
  </si>
  <si>
    <t>Diopsidio leucita lamproito</t>
  </si>
  <si>
    <t>Microfalha transcorrente aproximada</t>
  </si>
  <si>
    <t>Diopsidio perovskitito</t>
  </si>
  <si>
    <t>Microfalha transcorrente dextral</t>
  </si>
  <si>
    <t>Diopsidio sanidina flogopito</t>
  </si>
  <si>
    <t>Microfalha transcorrente encoberta</t>
  </si>
  <si>
    <t>Diorito</t>
  </si>
  <si>
    <t>Microfalha transcorrente sinistral</t>
  </si>
  <si>
    <t>Diorito gnáissico</t>
  </si>
  <si>
    <t>Microfalha transpressional</t>
  </si>
  <si>
    <t>Dioritóide</t>
  </si>
  <si>
    <t>Microfalha transpressional dextral</t>
  </si>
  <si>
    <t>Dismicrito</t>
  </si>
  <si>
    <t>Microfalha transpressional sinistral</t>
  </si>
  <si>
    <t>Ditroito</t>
  </si>
  <si>
    <t>Microfalha transtracional</t>
  </si>
  <si>
    <t>Dolarenito</t>
  </si>
  <si>
    <t>Microfalha transtracional dextral</t>
  </si>
  <si>
    <t>Doloesparito</t>
  </si>
  <si>
    <t>Microfalha transtracional sinistral</t>
  </si>
  <si>
    <t>Dololutito</t>
  </si>
  <si>
    <t>Microfanerítica</t>
  </si>
  <si>
    <t>Dolomicrito</t>
  </si>
  <si>
    <t>Microfelsítica esferulítica</t>
  </si>
  <si>
    <t>Dolomicroesparito</t>
  </si>
  <si>
    <t>Microfilmes lutídicos</t>
  </si>
  <si>
    <t>Dolomito</t>
  </si>
  <si>
    <t>Microflexura antiformal</t>
  </si>
  <si>
    <t>Dolorrudito</t>
  </si>
  <si>
    <t>Microflexura sinformal</t>
  </si>
  <si>
    <t>Dunito</t>
  </si>
  <si>
    <t>Microfoliação</t>
  </si>
  <si>
    <t>Eclogito</t>
  </si>
  <si>
    <t>Microfoliação de borda de intrusão (ortognaissificação)</t>
  </si>
  <si>
    <t>Elúvio</t>
  </si>
  <si>
    <t>Microfoliação de transposição</t>
  </si>
  <si>
    <t>Enderbito</t>
  </si>
  <si>
    <t>Microfoliação milonítica</t>
  </si>
  <si>
    <t>Enderbito gnáissico</t>
  </si>
  <si>
    <t>Microfoliação tipo C</t>
  </si>
  <si>
    <t>Epicalcário</t>
  </si>
  <si>
    <t>Microfoliação tipo C'</t>
  </si>
  <si>
    <t>Epidotito</t>
  </si>
  <si>
    <t>Microfoliação tipo S</t>
  </si>
  <si>
    <t>Escarnito</t>
  </si>
  <si>
    <t>Microfratura de cisalhamento P</t>
  </si>
  <si>
    <t>Essexito</t>
  </si>
  <si>
    <t>Microfratura de cisalhamento R (Riedel)</t>
  </si>
  <si>
    <t>Estantita sanidina flogopita lamproito</t>
  </si>
  <si>
    <t>Microfratura de cisalhamento R'(anti-Riedel)</t>
  </si>
  <si>
    <t>Estaurolita-granada-biotita-muscovita-quartzo xisto</t>
  </si>
  <si>
    <t>Microfratura de cisalhamento X</t>
  </si>
  <si>
    <t>Microfratura de cisalhamento Y</t>
  </si>
  <si>
    <t>Evaporito</t>
  </si>
  <si>
    <t>Microfratura preenchida</t>
  </si>
  <si>
    <t>Farsundito (Hiperstênio adamelito)</t>
  </si>
  <si>
    <t>Microgranolepidoblástica</t>
  </si>
  <si>
    <t>Feldspato alcalino-quartzo aegirinito</t>
  </si>
  <si>
    <t>Microgranular</t>
  </si>
  <si>
    <t>Fenito</t>
  </si>
  <si>
    <t>Microlamelar a microgranular laminada</t>
  </si>
  <si>
    <t>Fergusito</t>
  </si>
  <si>
    <t>Microlamelar lamida maculada</t>
  </si>
  <si>
    <t>Ferrocarbonatito</t>
  </si>
  <si>
    <t>Microlepidoblástica com xistosidade pertubada</t>
  </si>
  <si>
    <t>Filito</t>
  </si>
  <si>
    <t>Microporfirítica</t>
  </si>
  <si>
    <t>Filito grafítico</t>
  </si>
  <si>
    <t>Microporfiroblástica</t>
  </si>
  <si>
    <t>Filonito</t>
  </si>
  <si>
    <t>Microporfiroblástica cataclástica</t>
  </si>
  <si>
    <t>Flogopitito</t>
  </si>
  <si>
    <t>Microporfiroblástica orientada</t>
  </si>
  <si>
    <t>Fóide anortosito</t>
  </si>
  <si>
    <t>Microporfiroblástica seríal cataclástica</t>
  </si>
  <si>
    <t>Fóide diorito</t>
  </si>
  <si>
    <t>Microporfirolepidoblástica</t>
  </si>
  <si>
    <t>Fóide gabro</t>
  </si>
  <si>
    <t>Fóide latito</t>
  </si>
  <si>
    <t xml:space="preserve">Fóide monzodiorito </t>
  </si>
  <si>
    <t xml:space="preserve">Fóide monzogabro </t>
  </si>
  <si>
    <t>Milonítica</t>
  </si>
  <si>
    <t>Fóide monzonito</t>
  </si>
  <si>
    <t>Milonítica gnáissica</t>
  </si>
  <si>
    <t xml:space="preserve">Fóide sienito </t>
  </si>
  <si>
    <t>Mimerquita</t>
  </si>
  <si>
    <t>Fóide traquito</t>
  </si>
  <si>
    <t>Mortar</t>
  </si>
  <si>
    <t>Foidito</t>
  </si>
  <si>
    <t>Não-conformidade</t>
  </si>
  <si>
    <t>Folhelho</t>
  </si>
  <si>
    <t>Nematoblástica</t>
  </si>
  <si>
    <t>Folhelho arenoso</t>
  </si>
  <si>
    <t>Nematoblástica orientada</t>
  </si>
  <si>
    <t>Folhelho betuminoso</t>
  </si>
  <si>
    <t>Nematolepidoblástica</t>
  </si>
  <si>
    <t>Folhelho carbonoso</t>
  </si>
  <si>
    <t>Nodulesc</t>
  </si>
  <si>
    <t>Folhelho síltico</t>
  </si>
  <si>
    <t>Ocelo</t>
  </si>
  <si>
    <t>Fonolito</t>
  </si>
  <si>
    <t>Ofítica</t>
  </si>
  <si>
    <t>Fonolito nefelinito</t>
  </si>
  <si>
    <t>Ofítica a inequigranular</t>
  </si>
  <si>
    <t>Fonolito tefrítico</t>
  </si>
  <si>
    <t>Oncólito</t>
  </si>
  <si>
    <t>Fonolito traquito</t>
  </si>
  <si>
    <t>Ondulação plano-paralela</t>
  </si>
  <si>
    <t>Formação ferrífera bandada</t>
  </si>
  <si>
    <t>Ondulações cavalgantes</t>
  </si>
  <si>
    <t>Formação manganesífera</t>
  </si>
  <si>
    <t>Oólito</t>
  </si>
  <si>
    <t>Foscorito</t>
  </si>
  <si>
    <t>Orbicular</t>
  </si>
  <si>
    <t>Fosforito</t>
  </si>
  <si>
    <t>Palisades</t>
  </si>
  <si>
    <t>Foyaíto</t>
  </si>
  <si>
    <t>Pegmatítica</t>
  </si>
  <si>
    <t>Gabro</t>
  </si>
  <si>
    <t>Peixes de mica (mica fish)</t>
  </si>
  <si>
    <t>Gabro diorítico</t>
  </si>
  <si>
    <t>Pelóide</t>
  </si>
  <si>
    <t>Gabronorito</t>
  </si>
  <si>
    <t>Pertítica</t>
  </si>
  <si>
    <t>Giz (Evaporito - Gipsita)</t>
  </si>
  <si>
    <t>Pillow lava</t>
  </si>
  <si>
    <t>Glimmerito</t>
  </si>
  <si>
    <t>Pilotaxítica</t>
  </si>
  <si>
    <t>Gnaisse</t>
  </si>
  <si>
    <t>Pisólito</t>
  </si>
  <si>
    <t>Gnaisse aluminoso</t>
  </si>
  <si>
    <t>Poiquilítica</t>
  </si>
  <si>
    <t>Gnaisse calcissilicático</t>
  </si>
  <si>
    <t>Poiquiloblástica</t>
  </si>
  <si>
    <t>Gnaisse charnockítico</t>
  </si>
  <si>
    <t>Poiquiloblástica orientada bandada</t>
  </si>
  <si>
    <t>Gnaisse enderbítico</t>
  </si>
  <si>
    <t>Porfirítica</t>
  </si>
  <si>
    <t>Gnaisse granítico</t>
  </si>
  <si>
    <t>Porfirítica a xistificada bandada</t>
  </si>
  <si>
    <t>Gnaisse granodiorítico</t>
  </si>
  <si>
    <t>Porfirítica alotriomórfica</t>
  </si>
  <si>
    <t>Gnaisse granulítico</t>
  </si>
  <si>
    <t>Porfirítica automórfica</t>
  </si>
  <si>
    <t>Gnaisse milonítico</t>
  </si>
  <si>
    <t>Porfirítica cataclástica</t>
  </si>
  <si>
    <t>Gnaisse quartzo-feldspático</t>
  </si>
  <si>
    <t>Porfirítica hiatal</t>
  </si>
  <si>
    <t>Gnaisse quartzoso</t>
  </si>
  <si>
    <t>Porfirítica hipidiomórfica</t>
  </si>
  <si>
    <t>Gnaisse sienogranítico</t>
  </si>
  <si>
    <t>Porfirítica pilotaxítica</t>
  </si>
  <si>
    <t>Gondito</t>
  </si>
  <si>
    <t>Porfirítica subofítica</t>
  </si>
  <si>
    <t>Gossan</t>
  </si>
  <si>
    <t>Porfiro poiquilítica</t>
  </si>
  <si>
    <t>Gouge (Farinha de falha)</t>
  </si>
  <si>
    <t>Porfiroblástica</t>
  </si>
  <si>
    <t>Grafita xisto</t>
  </si>
  <si>
    <t>Porfiroblástica a granoblástica</t>
  </si>
  <si>
    <t>Grafita-granada-muscovita-quartzo xisto</t>
  </si>
  <si>
    <t>Porfiroblástica bandada</t>
  </si>
  <si>
    <t>Grafita-muscovita-quartzo xisto</t>
  </si>
  <si>
    <t>Porfiroblástica cataclástica</t>
  </si>
  <si>
    <t>Granada anfibolito</t>
  </si>
  <si>
    <t>Porfiroblástica cataclástica em argamassa</t>
  </si>
  <si>
    <t>Granada charnockito</t>
  </si>
  <si>
    <t>Porfiroblástica e heterogranoblástica grosseira</t>
  </si>
  <si>
    <t>Granada gnaisse</t>
  </si>
  <si>
    <t>Porfiroblástica grosseiro</t>
  </si>
  <si>
    <t>Granada gnaisse granulítico</t>
  </si>
  <si>
    <t>Porfiroblástica lineada</t>
  </si>
  <si>
    <t>Granada granito</t>
  </si>
  <si>
    <t>Porfiroblástica orientada</t>
  </si>
  <si>
    <t>Granada granito com sillimanita e cordierita</t>
  </si>
  <si>
    <t>Porfiroblástica orientada cataclástica</t>
  </si>
  <si>
    <t>Granada granitóide com sillimanita e cordierita</t>
  </si>
  <si>
    <t>Porfiroblástica serial</t>
  </si>
  <si>
    <t>Granada granulito</t>
  </si>
  <si>
    <t>Porfiroblástica xenoblástica</t>
  </si>
  <si>
    <t>Granada granulito máfico</t>
  </si>
  <si>
    <t>Porfiroblástica xenoblástica cataclasada</t>
  </si>
  <si>
    <t>Granada migmatito</t>
  </si>
  <si>
    <t>Porfiroblastos/porfiroclastos assimétricos tipo delta</t>
  </si>
  <si>
    <t>Granada piroxenito</t>
  </si>
  <si>
    <t>Porfiroblastos/porfiroclastos assimétricos tipo sigma</t>
  </si>
  <si>
    <t>Granada xisto</t>
  </si>
  <si>
    <t>Porfiroclástica</t>
  </si>
  <si>
    <t>Granada-actinolita-tremolita-hornblenda anfibolito</t>
  </si>
  <si>
    <t>Porfiroclástica foliada</t>
  </si>
  <si>
    <t>Granada-biotita gnaisse</t>
  </si>
  <si>
    <t>Porfiroclástica lepidoblástica</t>
  </si>
  <si>
    <t>Granada-biotita granito com cordierita</t>
  </si>
  <si>
    <t>Porfiroclástica lineada</t>
  </si>
  <si>
    <t>Granada-biotita granito com cordierita e sillimanita</t>
  </si>
  <si>
    <t>Porfiroclástica orientada</t>
  </si>
  <si>
    <t>Granada-biotita granito com sillimanita</t>
  </si>
  <si>
    <t>Porfiroclástica xistificada</t>
  </si>
  <si>
    <t>Granada-biotita granito com sillimanita e cordierita</t>
  </si>
  <si>
    <t>Porfiroclásticaxenoblástica</t>
  </si>
  <si>
    <t>Granada-biotita granitóide com cordierita</t>
  </si>
  <si>
    <t>Porfiroclastos simétricos</t>
  </si>
  <si>
    <t>Granada-biotita granitóide com cordierita e sillimanita</t>
  </si>
  <si>
    <t>Porfiróide</t>
  </si>
  <si>
    <t>Granada-biotita granitóide com sillimanita</t>
  </si>
  <si>
    <t>Porfiropoiquiloblástica</t>
  </si>
  <si>
    <t>Granada-biotita granitóide com sillimanita e cordierita</t>
  </si>
  <si>
    <t>Porfiropoiquiloblástica cataclástica</t>
  </si>
  <si>
    <t>Granada-biotita xisto</t>
  </si>
  <si>
    <t>Porosa</t>
  </si>
  <si>
    <t>Granada-biotita-muscovita granito com sillimanita e cordierita</t>
  </si>
  <si>
    <t>Protomilonítica</t>
  </si>
  <si>
    <t>Granada-biotita-muscovita granitóide com sillimanita e cordierita</t>
  </si>
  <si>
    <t>Pseudo litográfica</t>
  </si>
  <si>
    <t>Granada-biotita-muscovita-quartzo xisto</t>
  </si>
  <si>
    <t>Pseudopoiquiloblástica</t>
  </si>
  <si>
    <t>Granada-biotita-muscovita-quartzo xisto feldspático</t>
  </si>
  <si>
    <t>Pulverulenta</t>
  </si>
  <si>
    <t>Granada-cianita-biotita-muscovita-quartzo xisto</t>
  </si>
  <si>
    <t>Quench</t>
  </si>
  <si>
    <t>Granada-clorita xisto</t>
  </si>
  <si>
    <t>Raízes de plantas</t>
  </si>
  <si>
    <t>Granada-cordierita sienogranito</t>
  </si>
  <si>
    <t>Rapakivi</t>
  </si>
  <si>
    <t>Granada-epidoto-biotita-muscovita xisto milonítico</t>
  </si>
  <si>
    <t>Rastros ou trilhas (icnofósseis)</t>
  </si>
  <si>
    <t>Granada-mica xisto</t>
  </si>
  <si>
    <t>Rosette</t>
  </si>
  <si>
    <t>Granada-muscovita-biotita-quartzo xisto</t>
  </si>
  <si>
    <t>Sacaroidal</t>
  </si>
  <si>
    <t>Granada-muscovita-clorita-epidoto gnaisse milonítico</t>
  </si>
  <si>
    <t>Sequência thickening-up ou coarsening-up</t>
  </si>
  <si>
    <t>Granada-muscovita-hematita-quartzo xisto</t>
  </si>
  <si>
    <t>Sequência thinning-up ou fining-upv</t>
  </si>
  <si>
    <t>Granada-ortopiroxênio-biotita gnaisse</t>
  </si>
  <si>
    <t>Serial</t>
  </si>
  <si>
    <t>Granada-quartzo blastomilonito</t>
  </si>
  <si>
    <t>Simplectita</t>
  </si>
  <si>
    <t>Granada-sillimanita-plagioclásio-cordierita-biotita xisto</t>
  </si>
  <si>
    <t>Sombra de pressão</t>
  </si>
  <si>
    <t>Granito</t>
  </si>
  <si>
    <t>Spinifex</t>
  </si>
  <si>
    <t>Granito alcalino</t>
  </si>
  <si>
    <t>Granito com sillimanita</t>
  </si>
  <si>
    <t>Subofítica</t>
  </si>
  <si>
    <t>Granito gnáissico</t>
  </si>
  <si>
    <t>Subofítica inequigranular</t>
  </si>
  <si>
    <t>Granito pórfiro</t>
  </si>
  <si>
    <t>Subvulcânica</t>
  </si>
  <si>
    <t>Granitóide</t>
  </si>
  <si>
    <t>Traquítica</t>
  </si>
  <si>
    <t>Granitóide micáceo</t>
  </si>
  <si>
    <t>Turboglifos(flute mark)</t>
  </si>
  <si>
    <t>Granitóide rico em quartzo</t>
  </si>
  <si>
    <t>Variolítica</t>
  </si>
  <si>
    <t>Granodiorito</t>
  </si>
  <si>
    <t>Veio</t>
  </si>
  <si>
    <t>Granodiorito foliado</t>
  </si>
  <si>
    <t>Veio de cisalhamento</t>
  </si>
  <si>
    <t>Granodiorito gnáissico</t>
  </si>
  <si>
    <t>Veio extensional</t>
  </si>
  <si>
    <t>Granófiro</t>
  </si>
  <si>
    <t>Veio híbrido</t>
  </si>
  <si>
    <t>Granulito</t>
  </si>
  <si>
    <t>Veio irregular</t>
  </si>
  <si>
    <t>Granulito charnockítico</t>
  </si>
  <si>
    <t>Veio laminado</t>
  </si>
  <si>
    <t>Granulito charnoenderbítico</t>
  </si>
  <si>
    <t>Vermicular ou simplectítica</t>
  </si>
  <si>
    <t>Granulito enderbítico</t>
  </si>
  <si>
    <t>Vesicular</t>
  </si>
  <si>
    <t>Granulito félsico</t>
  </si>
  <si>
    <t>Vítrea</t>
  </si>
  <si>
    <t>Granulito intermediário</t>
  </si>
  <si>
    <t>Vitrofírica</t>
  </si>
  <si>
    <t>Granulito máfico</t>
  </si>
  <si>
    <t>Xenoblástica</t>
  </si>
  <si>
    <t>Granulito ultramáfico</t>
  </si>
  <si>
    <t>Xenoblástica bandada</t>
  </si>
  <si>
    <t>Grauvaca</t>
  </si>
  <si>
    <t>Xenoblástica cataclástica</t>
  </si>
  <si>
    <t>Grauvaca feldspática</t>
  </si>
  <si>
    <t>Xenoblástica cataclástica bandada</t>
  </si>
  <si>
    <t>Grauvaca lítica</t>
  </si>
  <si>
    <t>Xenoblástica cataclástica orientada</t>
  </si>
  <si>
    <t>Grauvaca seixosa</t>
  </si>
  <si>
    <t>Xenoblástica fraturada</t>
  </si>
  <si>
    <t>Greisen</t>
  </si>
  <si>
    <t>Xenoblástica granoblástica</t>
  </si>
  <si>
    <t>Grennaito</t>
  </si>
  <si>
    <t>Xenoblástica granolepidoblástica</t>
  </si>
  <si>
    <t>Harzburgito</t>
  </si>
  <si>
    <t>Xenoblástica heterogranoblástica</t>
  </si>
  <si>
    <t>Haüyna anortosito</t>
  </si>
  <si>
    <t>Xenoblástica heterogranular</t>
  </si>
  <si>
    <t>Haüyna diorito</t>
  </si>
  <si>
    <t>Xenoblástica lepidoblástica</t>
  </si>
  <si>
    <t>Haüyna gabro</t>
  </si>
  <si>
    <t>Xenoblástica orientada</t>
  </si>
  <si>
    <t>Haüyna monzodiorito</t>
  </si>
  <si>
    <t>Xenoblástica ou alotrioblástica</t>
  </si>
  <si>
    <t>Haüyna monzogabro</t>
  </si>
  <si>
    <t>Xenoblástica porfiroblástica</t>
  </si>
  <si>
    <t>Haüyna sienito</t>
  </si>
  <si>
    <t>Xenomórfica</t>
  </si>
  <si>
    <t>Haüyna sienitóide</t>
  </si>
  <si>
    <t>Xenomórfica bandada</t>
  </si>
  <si>
    <t>Haüyna-microclínio sienito</t>
  </si>
  <si>
    <t>Xenomórfica cataclástica</t>
  </si>
  <si>
    <t>Haüyna-ortoclásio sienito</t>
  </si>
  <si>
    <t>Xenomórfica de equilíbrio</t>
  </si>
  <si>
    <t>Hawaiíto</t>
  </si>
  <si>
    <t>Xenomórfica heterocataclástica</t>
  </si>
  <si>
    <t>Hematita-cloritóide-muscovita-quartzo xisto</t>
  </si>
  <si>
    <t>Xenomórfica orientada</t>
  </si>
  <si>
    <t>Hematita-muscovita-quartzo xisto</t>
  </si>
  <si>
    <t>Xenomórfica porfirítica</t>
  </si>
  <si>
    <t>Hialo-estantita flogopita lamproito</t>
  </si>
  <si>
    <t>Xenomórfica porfirítica cataclástica</t>
  </si>
  <si>
    <t>Hialo-olivina diopsidio flogopitito</t>
  </si>
  <si>
    <t>Hialo-olivina leucita lamproito</t>
  </si>
  <si>
    <t>Hidrotermalito</t>
  </si>
  <si>
    <t>Hidrotermalito quartzoso</t>
  </si>
  <si>
    <t>Hiperstênio diorito</t>
  </si>
  <si>
    <t>Hiperstênio granodiorito</t>
  </si>
  <si>
    <t>Hiperstênio granulito</t>
  </si>
  <si>
    <t>Hiperstênio-quartzo diorito</t>
  </si>
  <si>
    <t>Hiperstênio-quartzo monzonito</t>
  </si>
  <si>
    <t>Hornblenda diorito</t>
  </si>
  <si>
    <t>Hornblenda gabro</t>
  </si>
  <si>
    <t>Hornblenda gabronorito</t>
  </si>
  <si>
    <t>Hornblenda gnaisse</t>
  </si>
  <si>
    <t>Hornblenda granito</t>
  </si>
  <si>
    <t>Hornblenda granodiorito gnáissico</t>
  </si>
  <si>
    <t>Hornblenda hornfels</t>
  </si>
  <si>
    <t>Hornblenda metandesito pórfiro</t>
  </si>
  <si>
    <t>Hornblenda monzonito</t>
  </si>
  <si>
    <t>Hornblenda peridotito</t>
  </si>
  <si>
    <t>Hornblenda piroxenito</t>
  </si>
  <si>
    <t>Hornblenda piroxenito portador de plagioclásio</t>
  </si>
  <si>
    <t>Hornblenda sienogranito</t>
  </si>
  <si>
    <t>Hornblenda tonalito</t>
  </si>
  <si>
    <t>Hornblenda-biotita gnaisse</t>
  </si>
  <si>
    <t>Hornblenda-biotita granito</t>
  </si>
  <si>
    <t>Hornblenda-biotita granodiorito</t>
  </si>
  <si>
    <t>Hornblenda-biotita metatonalito</t>
  </si>
  <si>
    <t>Hornblenda-biotita-escapolita hidrotermalito</t>
  </si>
  <si>
    <t>Hornblenda-hiperstênio norito</t>
  </si>
  <si>
    <t>Hornblenda-ortopiroxênio gnaisse</t>
  </si>
  <si>
    <t>Hornblendito</t>
  </si>
  <si>
    <t>Hornblendito portador de plagioclásio</t>
  </si>
  <si>
    <t>Hornfels</t>
  </si>
  <si>
    <t>Hulha</t>
  </si>
  <si>
    <t>Ignimbrito</t>
  </si>
  <si>
    <t>Ijolito</t>
  </si>
  <si>
    <t>Intraesparito</t>
  </si>
  <si>
    <t>Intramicrito</t>
  </si>
  <si>
    <t>Intramicrudito</t>
  </si>
  <si>
    <t>Intrasparrudito</t>
  </si>
  <si>
    <t>Itabirito</t>
  </si>
  <si>
    <t>Italito</t>
  </si>
  <si>
    <t>Jacupiranguito</t>
  </si>
  <si>
    <t>Jaspelito</t>
  </si>
  <si>
    <t>Jotunito</t>
  </si>
  <si>
    <t>Juvito</t>
  </si>
  <si>
    <t>Kakortokito</t>
  </si>
  <si>
    <t>Kalsilita biotita piroxenito</t>
  </si>
  <si>
    <t>Kalsilita malignito</t>
  </si>
  <si>
    <t>Kalsilita piroxenito</t>
  </si>
  <si>
    <t>Kamafugito</t>
  </si>
  <si>
    <t>Katungito</t>
  </si>
  <si>
    <t>Kaxtorpito</t>
  </si>
  <si>
    <t>K-dactylotipico shonkinito</t>
  </si>
  <si>
    <t>K-dactylotipico synnyrito</t>
  </si>
  <si>
    <t>K-feldspato piroxênio kalsilitolito</t>
  </si>
  <si>
    <t>K-feldspato yakutito</t>
  </si>
  <si>
    <t>Khibinito</t>
  </si>
  <si>
    <t>Kimberlito</t>
  </si>
  <si>
    <t>Kinzigito</t>
  </si>
  <si>
    <t>Komatiíto</t>
  </si>
  <si>
    <t>Kugdito</t>
  </si>
  <si>
    <t>Lakarpito</t>
  </si>
  <si>
    <t>Lama</t>
  </si>
  <si>
    <t>Laminito algal</t>
  </si>
  <si>
    <t>Lamito</t>
  </si>
  <si>
    <t>Lamito conglomerático</t>
  </si>
  <si>
    <t>Lamprobolita-andesito pórfiro</t>
  </si>
  <si>
    <t>Lamprobolita-metandesito pórfiro</t>
  </si>
  <si>
    <t>Lamprófiro</t>
  </si>
  <si>
    <t>Lamproíto</t>
  </si>
  <si>
    <t>Lapíli</t>
  </si>
  <si>
    <t>Larvikito</t>
  </si>
  <si>
    <t>Laterita</t>
  </si>
  <si>
    <t>Latito</t>
  </si>
  <si>
    <t>Ledmorito</t>
  </si>
  <si>
    <t>Leucita anortosito</t>
  </si>
  <si>
    <t>Leucita basanito</t>
  </si>
  <si>
    <t>Leucita diorito</t>
  </si>
  <si>
    <t>Leucita flogopita lamproito</t>
  </si>
  <si>
    <t>Leucita fonolito</t>
  </si>
  <si>
    <t>Leucita gabro</t>
  </si>
  <si>
    <t>Leucita monzodiorito</t>
  </si>
  <si>
    <t>Leucita monzogabro</t>
  </si>
  <si>
    <t>Leucita monzosienito</t>
  </si>
  <si>
    <t>Leucita richterita Lamproito</t>
  </si>
  <si>
    <t>Leucita sienito</t>
  </si>
  <si>
    <t>Leucita sienitóide</t>
  </si>
  <si>
    <t>Leucita tefrito</t>
  </si>
  <si>
    <t>Leucita-microclínio sienito</t>
  </si>
  <si>
    <t>Leucita-ortoclásio sienito</t>
  </si>
  <si>
    <t>Leucitito</t>
  </si>
  <si>
    <t>Leucitito fonolítico</t>
  </si>
  <si>
    <t>Leucobasalto</t>
  </si>
  <si>
    <t>Leucogranito</t>
  </si>
  <si>
    <t>Leucogranito gnáissico</t>
  </si>
  <si>
    <t>Leucogranitóide</t>
  </si>
  <si>
    <t>Leucogranulito charnockítico</t>
  </si>
  <si>
    <t>Leucomalignito</t>
  </si>
  <si>
    <t>Leucomonzogranito</t>
  </si>
  <si>
    <t>Leucosienogranito</t>
  </si>
  <si>
    <t>Leucotroctolito</t>
  </si>
  <si>
    <t>Lherzolito</t>
  </si>
  <si>
    <t>Linhito</t>
  </si>
  <si>
    <t>Litchfieldito</t>
  </si>
  <si>
    <t>Litoarenito feldspático</t>
  </si>
  <si>
    <t>Loess</t>
  </si>
  <si>
    <t>Luhito</t>
  </si>
  <si>
    <t>Lujavrito</t>
  </si>
  <si>
    <t>Luxulianito</t>
  </si>
  <si>
    <t>Mafito</t>
  </si>
  <si>
    <t>Mafurito</t>
  </si>
  <si>
    <t>Magnésiocarbonatito</t>
  </si>
  <si>
    <t>Magnesitito</t>
  </si>
  <si>
    <t>Magnetita apatitito</t>
  </si>
  <si>
    <t>Magnetita clinopiroxenito</t>
  </si>
  <si>
    <t>Magnetita fosteritito</t>
  </si>
  <si>
    <t>Magnetita granito gnáissico</t>
  </si>
  <si>
    <t>Magnetita peridotito</t>
  </si>
  <si>
    <t>Magnetita quartzito</t>
  </si>
  <si>
    <t>Magnetita xisto</t>
  </si>
  <si>
    <t>Magnetita-epidoto-albita-clorita xisto</t>
  </si>
  <si>
    <t>Magnetita-hematita-muscovita-quartzo xisto</t>
  </si>
  <si>
    <t>Magnetitito</t>
  </si>
  <si>
    <t>Malignito</t>
  </si>
  <si>
    <t>Mangerito</t>
  </si>
  <si>
    <t>Marga</t>
  </si>
  <si>
    <t>Mariupolito</t>
  </si>
  <si>
    <t>Mármore</t>
  </si>
  <si>
    <t>Mármore calcítico</t>
  </si>
  <si>
    <t>Mármore dolomítico</t>
  </si>
  <si>
    <t>Marundito</t>
  </si>
  <si>
    <t>Material aluminoso</t>
  </si>
  <si>
    <t>Material arenoso</t>
  </si>
  <si>
    <t>Material argilo-arenoso</t>
  </si>
  <si>
    <t>Material argiloso</t>
  </si>
  <si>
    <t>Material bauxítico</t>
  </si>
  <si>
    <t>Material caulinítico</t>
  </si>
  <si>
    <t>Material concrecionário</t>
  </si>
  <si>
    <t>Material ferruginoso</t>
  </si>
  <si>
    <t>Material fosfático</t>
  </si>
  <si>
    <t>Material mosqueado</t>
  </si>
  <si>
    <t>Meimechito</t>
  </si>
  <si>
    <t>Melaandesito</t>
  </si>
  <si>
    <t>Melagabro</t>
  </si>
  <si>
    <t>Melagabronorito</t>
  </si>
  <si>
    <t>Melilita nefelinito</t>
  </si>
  <si>
    <t>Melilita peridotito</t>
  </si>
  <si>
    <t>Melilita piroxenito</t>
  </si>
  <si>
    <t>Melilitito</t>
  </si>
  <si>
    <t>Melilitolito</t>
  </si>
  <si>
    <t>Melteigito</t>
  </si>
  <si>
    <t>Melteijito</t>
  </si>
  <si>
    <t>Metabasalto</t>
  </si>
  <si>
    <t>Metabasalto komatiítico</t>
  </si>
  <si>
    <t>Metabasito</t>
  </si>
  <si>
    <t>Metabrecha</t>
  </si>
  <si>
    <t>Metabrecha carbonática</t>
  </si>
  <si>
    <t>Metabrecha cataclástica</t>
  </si>
  <si>
    <t>Metabrecha epiclástica</t>
  </si>
  <si>
    <t>Metabrecha piroclástica</t>
  </si>
  <si>
    <t>Metabrecha tufácea</t>
  </si>
  <si>
    <t>Metacalcarenito</t>
  </si>
  <si>
    <t>Metacalcário</t>
  </si>
  <si>
    <t>Metacalcário calcítico</t>
  </si>
  <si>
    <t>Metacalcário dolomítico</t>
  </si>
  <si>
    <t>Metacalcário estromatolítico</t>
  </si>
  <si>
    <t>Metacalcário magnesiano</t>
  </si>
  <si>
    <t>Metacalcilutito</t>
  </si>
  <si>
    <t>Metacalcirrudito</t>
  </si>
  <si>
    <t>Metachert</t>
  </si>
  <si>
    <t>Metaconglomerado</t>
  </si>
  <si>
    <t>Metaconglomerado dolomítico</t>
  </si>
  <si>
    <t>Metaconglomerado oligomítico</t>
  </si>
  <si>
    <t>Metaconglomerado polimítico</t>
  </si>
  <si>
    <t>Metaconglomerado suportado por clastos</t>
  </si>
  <si>
    <t>Metaconglomerado suportado por matriz</t>
  </si>
  <si>
    <t>Metaconglomerado tufáceo</t>
  </si>
  <si>
    <t>Metadacito</t>
  </si>
  <si>
    <t>Metadiabásio</t>
  </si>
  <si>
    <t>Metadiamictito</t>
  </si>
  <si>
    <t>Metadiorito</t>
  </si>
  <si>
    <t>Metadunito</t>
  </si>
  <si>
    <t>Metaepiclástica</t>
  </si>
  <si>
    <t>Metaexalitos</t>
  </si>
  <si>
    <t>Metafolhelho</t>
  </si>
  <si>
    <t>Metafonolito</t>
  </si>
  <si>
    <t>Metagabro</t>
  </si>
  <si>
    <t>Metagabróide</t>
  </si>
  <si>
    <t>Metagabronorito</t>
  </si>
  <si>
    <t>Metagranito</t>
  </si>
  <si>
    <t>Metagranitóide</t>
  </si>
  <si>
    <t>Metagranodiorito</t>
  </si>
  <si>
    <t>Metagrauvaca</t>
  </si>
  <si>
    <t>Metagrauvaca feldspática</t>
  </si>
  <si>
    <t>Metagrauvaca feldspática lítica</t>
  </si>
  <si>
    <t>Metagrauvaca lítica</t>
  </si>
  <si>
    <t>Metagrauvaca quartzosa</t>
  </si>
  <si>
    <t>Metagrauvaca seixosa</t>
  </si>
  <si>
    <t>Metahornblendito</t>
  </si>
  <si>
    <t>Metaignimbrito</t>
  </si>
  <si>
    <t>Metakomatiíto</t>
  </si>
  <si>
    <t>Metaleucogranito</t>
  </si>
  <si>
    <t>Metaleuconorito</t>
  </si>
  <si>
    <t>Metalherzolito</t>
  </si>
  <si>
    <t>Metamáfica</t>
  </si>
  <si>
    <t>Metamafito</t>
  </si>
  <si>
    <t>Metamangerito</t>
  </si>
  <si>
    <t>Metamarga</t>
  </si>
  <si>
    <t>Metamicrito</t>
  </si>
  <si>
    <t>Metamonzodiorito</t>
  </si>
  <si>
    <t>Metamonzogabro</t>
  </si>
  <si>
    <t>Metamonzonito</t>
  </si>
  <si>
    <t>Metamonzonorito</t>
  </si>
  <si>
    <t>Metandesito</t>
  </si>
  <si>
    <t>Metandesito pórfiro</t>
  </si>
  <si>
    <t>Metanorito</t>
  </si>
  <si>
    <t>Metanortosito</t>
  </si>
  <si>
    <t>Metapegmatito</t>
  </si>
  <si>
    <t>Metapelito</t>
  </si>
  <si>
    <t>Metaperidotito</t>
  </si>
  <si>
    <t>Metapicrito</t>
  </si>
  <si>
    <t>Metapiroclástica</t>
  </si>
  <si>
    <t>Metapiroxenito</t>
  </si>
  <si>
    <t>Metapsamito</t>
  </si>
  <si>
    <t>Metaquartzolito</t>
  </si>
  <si>
    <t>Metarcóseo</t>
  </si>
  <si>
    <t>Metarcóseo lítico</t>
  </si>
  <si>
    <t>Metarenito</t>
  </si>
  <si>
    <t>Metarenito arcoseano</t>
  </si>
  <si>
    <t>Metarenito conglomerático</t>
  </si>
  <si>
    <t>Metarenito epiclástico</t>
  </si>
  <si>
    <t>Metarenito feldspático</t>
  </si>
  <si>
    <t>Metarenito ferroso</t>
  </si>
  <si>
    <t>Metarenito lítico</t>
  </si>
  <si>
    <t>Metarenito quartzoso</t>
  </si>
  <si>
    <t>Metarenito tufáceo</t>
  </si>
  <si>
    <t>Metargilito</t>
  </si>
  <si>
    <t>Metariodacito</t>
  </si>
  <si>
    <t>Metarriodacito</t>
  </si>
  <si>
    <t>Metarriolito</t>
  </si>
  <si>
    <t>Metarritmito</t>
  </si>
  <si>
    <t>Metarrudito</t>
  </si>
  <si>
    <t>Metashoshonito</t>
  </si>
  <si>
    <t>Metassedimento tufáceo</t>
  </si>
  <si>
    <t>Metassienito</t>
  </si>
  <si>
    <t>Metassienitóide</t>
  </si>
  <si>
    <t>Metassienogranito</t>
  </si>
  <si>
    <t>Metassiltito</t>
  </si>
  <si>
    <t>Metassiltito tufáceo</t>
  </si>
  <si>
    <t>Metatefrito</t>
  </si>
  <si>
    <t>Metatexito</t>
  </si>
  <si>
    <t>Metatilito</t>
  </si>
  <si>
    <t>Metatonalito</t>
  </si>
  <si>
    <t>Metatraquito</t>
  </si>
  <si>
    <t>Metatroctolito</t>
  </si>
  <si>
    <t>Metatrondhjemito</t>
  </si>
  <si>
    <t>Metatufito</t>
  </si>
  <si>
    <t>Metatufo</t>
  </si>
  <si>
    <t>Metaultramafito</t>
  </si>
  <si>
    <t>Metavulcânica alcalina</t>
  </si>
  <si>
    <t>Metavulcânica básica</t>
  </si>
  <si>
    <t>Metavulcânica dacítica</t>
  </si>
  <si>
    <t>Metavulcânica félsica</t>
  </si>
  <si>
    <t>Metavulcânica intermediária a máfica</t>
  </si>
  <si>
    <t>Metavulcânica máfica</t>
  </si>
  <si>
    <t>Metavulcânica riodacítica</t>
  </si>
  <si>
    <t>Metavulcânica ultramáfica</t>
  </si>
  <si>
    <t>Metavulcanoclástica</t>
  </si>
  <si>
    <t>Metawebsterito</t>
  </si>
  <si>
    <t>Metawehrlito</t>
  </si>
  <si>
    <t>Mica quartzito</t>
  </si>
  <si>
    <t>Mica xisto</t>
  </si>
  <si>
    <t>Micrito</t>
  </si>
  <si>
    <t>Microbrecha cataclástica</t>
  </si>
  <si>
    <t>Microclínio charnockito</t>
  </si>
  <si>
    <t>Microclínio granito</t>
  </si>
  <si>
    <t>Microdiorito</t>
  </si>
  <si>
    <t>Microesparito</t>
  </si>
  <si>
    <t>Microgabro</t>
  </si>
  <si>
    <t>Microgranito</t>
  </si>
  <si>
    <t>Micromonzodiorito porfirítico</t>
  </si>
  <si>
    <t>Micromonzogabro</t>
  </si>
  <si>
    <t>Micromonzogranito porfirítico</t>
  </si>
  <si>
    <t>Microtonalito cataclástico</t>
  </si>
  <si>
    <t>Migmatito</t>
  </si>
  <si>
    <t>Migmatito com paleossoma granodiorítico</t>
  </si>
  <si>
    <t>Migmatito estromático</t>
  </si>
  <si>
    <t>Migmatito gnáissico</t>
  </si>
  <si>
    <t>Milonito</t>
  </si>
  <si>
    <t>Milonito granítico</t>
  </si>
  <si>
    <t>Missourito</t>
  </si>
  <si>
    <t>Modlibovito</t>
  </si>
  <si>
    <t>Monzodiorito</t>
  </si>
  <si>
    <t>Monzogabro</t>
  </si>
  <si>
    <t>Monzogranito</t>
  </si>
  <si>
    <t>Monzogranito milonítico</t>
  </si>
  <si>
    <t>Monzonito</t>
  </si>
  <si>
    <t>Monzonorito</t>
  </si>
  <si>
    <t>Monzosienito</t>
  </si>
  <si>
    <t>Mugearito</t>
  </si>
  <si>
    <t>Muscovita gnaisse</t>
  </si>
  <si>
    <t>Muscovita granito</t>
  </si>
  <si>
    <t>Muscovita quartzito</t>
  </si>
  <si>
    <t>Muscovita xisto</t>
  </si>
  <si>
    <t>Muscovita-biotita gnaisse</t>
  </si>
  <si>
    <t>Muscovita-biotita granito</t>
  </si>
  <si>
    <t>Muscovita-biotita sienogranito</t>
  </si>
  <si>
    <t>Muscovita-biotita xisto</t>
  </si>
  <si>
    <t>Muscovita-biotita-quartzo xisto</t>
  </si>
  <si>
    <t>Muscovita-cianita quartzito</t>
  </si>
  <si>
    <t>Muscovita-clorita-quartzo xisto</t>
  </si>
  <si>
    <t>Muscovita-estaurolita xisto</t>
  </si>
  <si>
    <t>Muscovita-granada xisto</t>
  </si>
  <si>
    <t>Muscovita-quartzo xisto</t>
  </si>
  <si>
    <t>Muscovita-quartzo-hematita-clorita xisto</t>
  </si>
  <si>
    <t>Muscovita-sillimanita xisto</t>
  </si>
  <si>
    <t>Naujaito</t>
  </si>
  <si>
    <t>Nefelina anortosito</t>
  </si>
  <si>
    <t>Nefelina basanito</t>
  </si>
  <si>
    <t>Nefelina diorito</t>
  </si>
  <si>
    <t>Nefelina gabro</t>
  </si>
  <si>
    <t>Nefelina monzodiorito</t>
  </si>
  <si>
    <t>Nefelina monzogabro</t>
  </si>
  <si>
    <t>Nefelina shonkinito</t>
  </si>
  <si>
    <t>Nefelina sienito</t>
  </si>
  <si>
    <t>Nefelina tefrito</t>
  </si>
  <si>
    <t>Nefelina-microclínio sienito</t>
  </si>
  <si>
    <t>Nefelina-ortoclásio sienito</t>
  </si>
  <si>
    <t>Nefelinito</t>
  </si>
  <si>
    <t>Nelsonito</t>
  </si>
  <si>
    <t>Nordmarkito</t>
  </si>
  <si>
    <t>Norito</t>
  </si>
  <si>
    <t>Norito gnaisse granulítico</t>
  </si>
  <si>
    <t>Okaito</t>
  </si>
  <si>
    <t>Oligoclásio sienito</t>
  </si>
  <si>
    <t>Olivina apatitito</t>
  </si>
  <si>
    <t>Olivina clinopiroxênio melilitolito</t>
  </si>
  <si>
    <t>Olivina clinopiroxenito</t>
  </si>
  <si>
    <t>Olivina diabásio</t>
  </si>
  <si>
    <t>Olivina diopsidio richterita madupitico</t>
  </si>
  <si>
    <t>Olivina gabro</t>
  </si>
  <si>
    <t>Olivina gabro tholeiítico</t>
  </si>
  <si>
    <t>Olivina gabronorito</t>
  </si>
  <si>
    <t>Olivina hornblendito</t>
  </si>
  <si>
    <t>Olivina magnetitito</t>
  </si>
  <si>
    <t>Olivina mela-fergusito</t>
  </si>
  <si>
    <t>Olivina melilitito</t>
  </si>
  <si>
    <t>Olivina melilitolito</t>
  </si>
  <si>
    <t>Olivina ortopiroxenito</t>
  </si>
  <si>
    <t>Olivina perovskitito</t>
  </si>
  <si>
    <t>Olivina piroxenito</t>
  </si>
  <si>
    <t>Olivina websterito</t>
  </si>
  <si>
    <t>Olivina-hornblenda piroxenito</t>
  </si>
  <si>
    <t>Olivina-piroxênio hornblendito</t>
  </si>
  <si>
    <t>Olivina-piroxênio melilitolito</t>
  </si>
  <si>
    <t>Ooesparito</t>
  </si>
  <si>
    <t>Oomicrito</t>
  </si>
  <si>
    <t>Oomicrudito</t>
  </si>
  <si>
    <t>Oosparito</t>
  </si>
  <si>
    <t>Oosparrudito</t>
  </si>
  <si>
    <t>Opdalito</t>
  </si>
  <si>
    <t>Ortoanfibolito</t>
  </si>
  <si>
    <t>Ortoclásio charnockito</t>
  </si>
  <si>
    <t>Ortoclásio granito</t>
  </si>
  <si>
    <t>Ortognaisse</t>
  </si>
  <si>
    <t>Ortognaisse alcalino</t>
  </si>
  <si>
    <t>Ortognaisse granítico</t>
  </si>
  <si>
    <t>Ortognaisse granodiorítico</t>
  </si>
  <si>
    <t>Ortognaisse monzogranítico</t>
  </si>
  <si>
    <t>Ortognaisse tonalítico</t>
  </si>
  <si>
    <t>Ortogranulito</t>
  </si>
  <si>
    <t>Ortogranulito félsico</t>
  </si>
  <si>
    <t>Ortopiroxênio gabro</t>
  </si>
  <si>
    <t>Ortopiroxênio gnaisse</t>
  </si>
  <si>
    <t>Ortopiroxênio-biotita-hornblenda gnaisse</t>
  </si>
  <si>
    <t>Ortopiroxênio-clinopiroxênio gnaisse</t>
  </si>
  <si>
    <t>Ortopiroxênio-hornblenda gnaisse</t>
  </si>
  <si>
    <t>Ortopiroxenito</t>
  </si>
  <si>
    <t>Ortopiroxenito portador de plagioclásio</t>
  </si>
  <si>
    <t>Ortoquartzito (Quartzo arenito silicificado)</t>
  </si>
  <si>
    <t>Ouachitito</t>
  </si>
  <si>
    <t>Pantellerito</t>
  </si>
  <si>
    <t>Paraanfibolito</t>
  </si>
  <si>
    <t>Paraconglomerado</t>
  </si>
  <si>
    <t>Paragnaisse</t>
  </si>
  <si>
    <t>Paragnaisse anfibolítico</t>
  </si>
  <si>
    <t>Paragranulito</t>
  </si>
  <si>
    <t>Paramigmatito</t>
  </si>
  <si>
    <t>Pedolito</t>
  </si>
  <si>
    <t>Pegmatito</t>
  </si>
  <si>
    <t>Pelesparito</t>
  </si>
  <si>
    <t>Pelito</t>
  </si>
  <si>
    <t>Pelmicrito</t>
  </si>
  <si>
    <t>Peperito</t>
  </si>
  <si>
    <t>Peridotito</t>
  </si>
  <si>
    <t>Perovskita apatitito</t>
  </si>
  <si>
    <t>Perovskita clinopiroxenito</t>
  </si>
  <si>
    <t>Perovskita peridotito</t>
  </si>
  <si>
    <t>Perovskitito</t>
  </si>
  <si>
    <t>Picrito</t>
  </si>
  <si>
    <t>Picrobasalto</t>
  </si>
  <si>
    <t>Pirobasalto</t>
  </si>
  <si>
    <t>Piroxênio hornblendito</t>
  </si>
  <si>
    <t>Piroxênio hornblendito portador de plagioclásio</t>
  </si>
  <si>
    <t>Piroxênio hornfels</t>
  </si>
  <si>
    <t>Piroxênio kalsilitolito</t>
  </si>
  <si>
    <t>Piroxênio melilitolito</t>
  </si>
  <si>
    <t>Piroxênio peridotito</t>
  </si>
  <si>
    <t>Piroxênio sienito</t>
  </si>
  <si>
    <t>Piroxênio-hornblenda peridotito</t>
  </si>
  <si>
    <t>Pirôxenio-hornblenda ultramafito</t>
  </si>
  <si>
    <t>Piroxênio-olivina melilitolito</t>
  </si>
  <si>
    <t>Piroxenito</t>
  </si>
  <si>
    <t>Piroxenito portador de plagioclásio</t>
  </si>
  <si>
    <t>Piroxenito serpentinizado</t>
  </si>
  <si>
    <t>Pisólitos</t>
  </si>
  <si>
    <t>Plagioclásio gabronorito</t>
  </si>
  <si>
    <t>Plagioclásio-granada pegmatito</t>
  </si>
  <si>
    <t>Plagioclásio-ortopiroxênio-clinopiroxênio granulito</t>
  </si>
  <si>
    <t>Polzenito</t>
  </si>
  <si>
    <t>Porcelanito</t>
  </si>
  <si>
    <t>Protocataclasito</t>
  </si>
  <si>
    <t>Protomilonito</t>
  </si>
  <si>
    <t>Pseudoleucita fonolito</t>
  </si>
  <si>
    <t>Pseudoleucita foyaíto</t>
  </si>
  <si>
    <t>Pseudoleucita shonknito</t>
  </si>
  <si>
    <t>Pseudoleucita sienito</t>
  </si>
  <si>
    <t>Pseudoleucita sinnyrito</t>
  </si>
  <si>
    <t>Pseudoleucita tinguaíto</t>
  </si>
  <si>
    <t>Pseudoleucitolito</t>
  </si>
  <si>
    <t>Pulaskito</t>
  </si>
  <si>
    <t>Quartzito</t>
  </si>
  <si>
    <t>Quartzito aluminoso</t>
  </si>
  <si>
    <t>Quartzito arcoseano</t>
  </si>
  <si>
    <t>Quartzito conglomerático</t>
  </si>
  <si>
    <t>Quartzito feldspático</t>
  </si>
  <si>
    <t>Quartzito ferruginoso</t>
  </si>
  <si>
    <t>Quartzito grafítico</t>
  </si>
  <si>
    <t>Quartzito micáceo</t>
  </si>
  <si>
    <t>Quartzo álcali-feldspato sienito</t>
  </si>
  <si>
    <t>Quartzo anortosito</t>
  </si>
  <si>
    <t>Quartzo arenito</t>
  </si>
  <si>
    <t>Quartzo arenito ferruginoso</t>
  </si>
  <si>
    <t>Quartzo blastomilonito</t>
  </si>
  <si>
    <t>Quartzo diorito</t>
  </si>
  <si>
    <t>Quartzo gabro</t>
  </si>
  <si>
    <t>Quartzo latito</t>
  </si>
  <si>
    <t>Quartzo metarenito</t>
  </si>
  <si>
    <t>Quartzo monzodiorito</t>
  </si>
  <si>
    <t>Quartzo monzodiorito protomilonítico</t>
  </si>
  <si>
    <t>Quartzo monzogabro</t>
  </si>
  <si>
    <t>Quartzo monzonito</t>
  </si>
  <si>
    <t>Quartzo sienito</t>
  </si>
  <si>
    <t>Quartzo traquito</t>
  </si>
  <si>
    <t>Quartzo xisto</t>
  </si>
  <si>
    <t>Quartzo-biotita xisto</t>
  </si>
  <si>
    <t>Quartzo-biotita-clorita xisto</t>
  </si>
  <si>
    <t>Quartzo-clorita xisto</t>
  </si>
  <si>
    <t>Quartzo-granada-biotita diorito</t>
  </si>
  <si>
    <t>Quartzo-grauvaca</t>
  </si>
  <si>
    <t>Quartzolito</t>
  </si>
  <si>
    <t>Quartzo-mica xisto</t>
  </si>
  <si>
    <t>Quartzo-microclínio sienito</t>
  </si>
  <si>
    <t>Quartzo-microclínio traquito</t>
  </si>
  <si>
    <t>Quartzo-ortoclásio sienito</t>
  </si>
  <si>
    <t>Quartzo-ortoclásio traquito</t>
  </si>
  <si>
    <t>Quartzo-plagioclásio-biotita xisto</t>
  </si>
  <si>
    <t>Quartzo-sericita xisto</t>
  </si>
  <si>
    <t>Queluzito</t>
  </si>
  <si>
    <t>Radiolarito</t>
  </si>
  <si>
    <t>Riodacito</t>
  </si>
  <si>
    <t>Riolito</t>
  </si>
  <si>
    <t>Rischorrito</t>
  </si>
  <si>
    <t>Ritmito</t>
  </si>
  <si>
    <t>Roccamonfina</t>
  </si>
  <si>
    <t>Rocha autigênica</t>
  </si>
  <si>
    <t>Rocha calcissilicática</t>
  </si>
  <si>
    <t>Rocha carbonática</t>
  </si>
  <si>
    <t>Rocha carbonosa</t>
  </si>
  <si>
    <t>Rocha gabróide</t>
  </si>
  <si>
    <t>Rocha máfica</t>
  </si>
  <si>
    <t>Rocha metassedimentar</t>
  </si>
  <si>
    <t>Rocha metassedimentar carbonática</t>
  </si>
  <si>
    <t>Rocha metassedimentar carbonosa</t>
  </si>
  <si>
    <t>Rocha metassedimentar clástica</t>
  </si>
  <si>
    <t>Rocha metassedimentar epiclástica</t>
  </si>
  <si>
    <t>Rocha metassedimentar química</t>
  </si>
  <si>
    <t>Rocha metassedimentar siliciclástica</t>
  </si>
  <si>
    <t>Rocha metassedimentar terrígena</t>
  </si>
  <si>
    <t>Rocha metaultramáfica</t>
  </si>
  <si>
    <t>Rocha metavulcânica</t>
  </si>
  <si>
    <t>Rocha metavulcânica félsica</t>
  </si>
  <si>
    <t>Rocha metavulcânica intermediária</t>
  </si>
  <si>
    <t>Rocha metavulcânica máfica</t>
  </si>
  <si>
    <t>Rocha metavulcânica ultramáfica</t>
  </si>
  <si>
    <t>Rocha metavulcanoclástica félsica</t>
  </si>
  <si>
    <t>Rocha plutônica alcalina</t>
  </si>
  <si>
    <t xml:space="preserve">Rocha vulcânica </t>
  </si>
  <si>
    <t>Rocha vulcânica alcalina</t>
  </si>
  <si>
    <t>Rocha vulcânica félsica</t>
  </si>
  <si>
    <t>Rocha vulcânica intermediária</t>
  </si>
  <si>
    <t>Rocha vulcânica máfica</t>
  </si>
  <si>
    <t>Rocha vulcânica piroclástica</t>
  </si>
  <si>
    <t>Rocha vulcânica ultramáfica</t>
  </si>
  <si>
    <t>Rocha vulcanoclástica</t>
  </si>
  <si>
    <t>Rocha vulcanossedimentar</t>
  </si>
  <si>
    <t>Rudito</t>
  </si>
  <si>
    <t>Sanidina anortosito</t>
  </si>
  <si>
    <t>Sanidina fonolito</t>
  </si>
  <si>
    <t>Sanidina monzosienito</t>
  </si>
  <si>
    <t>Sanidina sienito</t>
  </si>
  <si>
    <t>Sanidina traquito</t>
  </si>
  <si>
    <t>Sanidina-microclínio sienito</t>
  </si>
  <si>
    <t>Sanidina-ortoclásio sienito</t>
  </si>
  <si>
    <t>Saprolito</t>
  </si>
  <si>
    <t>Sapropelito</t>
  </si>
  <si>
    <t>Sedimento aluvionar</t>
  </si>
  <si>
    <t>Sedimento coluvionar</t>
  </si>
  <si>
    <t>Sedimento detrito-laterítico</t>
  </si>
  <si>
    <t>Sedimento elúvio-coluvionar</t>
  </si>
  <si>
    <t>Sedimento eluvionar</t>
  </si>
  <si>
    <t>Sedimento eólico</t>
  </si>
  <si>
    <t>Sedimento químico</t>
  </si>
  <si>
    <t>Sedimento siliciclástico</t>
  </si>
  <si>
    <t>Sericita filito carbonoso</t>
  </si>
  <si>
    <t>Sericita xisto</t>
  </si>
  <si>
    <t>Sericita xisto milonítico</t>
  </si>
  <si>
    <t>Sericita-quartzo xisto</t>
  </si>
  <si>
    <t>Serpentinito</t>
  </si>
  <si>
    <t>Shonkinito</t>
  </si>
  <si>
    <t>Shoshonito</t>
  </si>
  <si>
    <t>Sienito</t>
  </si>
  <si>
    <t>Sienitóide</t>
  </si>
  <si>
    <t>Sienogranito</t>
  </si>
  <si>
    <t>Sienomonzogranito</t>
  </si>
  <si>
    <t>Silcrete</t>
  </si>
  <si>
    <t>Silexito</t>
  </si>
  <si>
    <t>Silicocarbonatito</t>
  </si>
  <si>
    <t>Sillimanita quartzito</t>
  </si>
  <si>
    <t>Sillimanita-granada xisto</t>
  </si>
  <si>
    <t>Sillimanita-granito foliado</t>
  </si>
  <si>
    <t>Sillimanita-muscovita-biotita xisto</t>
  </si>
  <si>
    <t>Silte</t>
  </si>
  <si>
    <t>Siltito</t>
  </si>
  <si>
    <t>Siltito arenoso</t>
  </si>
  <si>
    <t>Siltito argiloso</t>
  </si>
  <si>
    <t>Siltito calcífero</t>
  </si>
  <si>
    <t>Siltito carbonoso</t>
  </si>
  <si>
    <t>Sinnyrito</t>
  </si>
  <si>
    <t>Sínter (Geyserito)</t>
  </si>
  <si>
    <t>Sodalita-microclínio sienito</t>
  </si>
  <si>
    <t>Sodalita-ortoclásio sienito</t>
  </si>
  <si>
    <t>Sövito</t>
  </si>
  <si>
    <t>Subarcóseo</t>
  </si>
  <si>
    <t>Subgrauvaca</t>
  </si>
  <si>
    <t>Sublitarenito</t>
  </si>
  <si>
    <t>Sulfeto Maciço</t>
  </si>
  <si>
    <t>Tactito</t>
  </si>
  <si>
    <t>Talco xisto</t>
  </si>
  <si>
    <t>Talco-clorita-serpentina xisto</t>
  </si>
  <si>
    <t>Talco-sericita xisto</t>
  </si>
  <si>
    <t>Tawito</t>
  </si>
  <si>
    <t>Tefrito</t>
  </si>
  <si>
    <t>Tefrito basanítico</t>
  </si>
  <si>
    <t>Tefrito fonolítico</t>
  </si>
  <si>
    <t>Tefrito leucitito</t>
  </si>
  <si>
    <t>Teschenito (Analcima gabro)</t>
  </si>
  <si>
    <t>Theralito (Nefelina gabro)</t>
  </si>
  <si>
    <t>Tholeiíto</t>
  </si>
  <si>
    <t>Tilito</t>
  </si>
  <si>
    <t>Tinguaíto</t>
  </si>
  <si>
    <t>Tonalito</t>
  </si>
  <si>
    <t>Tonalito cataclástico</t>
  </si>
  <si>
    <t>Tonalito gnáissico</t>
  </si>
  <si>
    <t>Traquiandesito</t>
  </si>
  <si>
    <t>Traquiandesito basáltico</t>
  </si>
  <si>
    <t>Traquibasalto</t>
  </si>
  <si>
    <t>Traquidacito</t>
  </si>
  <si>
    <t>Traquito</t>
  </si>
  <si>
    <t>Traquito comendítico</t>
  </si>
  <si>
    <t>Traquito pantellerítico</t>
  </si>
  <si>
    <t>Travertino</t>
  </si>
  <si>
    <t>Tremolita-clorita xisto</t>
  </si>
  <si>
    <t>Tremolita-talco xisto</t>
  </si>
  <si>
    <t>Tremolitito</t>
  </si>
  <si>
    <t>Troctolito</t>
  </si>
  <si>
    <t>Trondhjemito</t>
  </si>
  <si>
    <t>Tufa calcária</t>
  </si>
  <si>
    <t>Tufito</t>
  </si>
  <si>
    <t>Tufo alcalino</t>
  </si>
  <si>
    <t>Tufo cinerítico</t>
  </si>
  <si>
    <t>Tufo cinerítico fino</t>
  </si>
  <si>
    <t>Tufo cinerítico lítico</t>
  </si>
  <si>
    <t>Tufo dacítico</t>
  </si>
  <si>
    <t>Tufo de cristal</t>
  </si>
  <si>
    <t>Tufo félsico</t>
  </si>
  <si>
    <t>Tufo lapillítico</t>
  </si>
  <si>
    <t>Tufo lítico</t>
  </si>
  <si>
    <t>Tufo máfico</t>
  </si>
  <si>
    <t>Tufo riodacítico</t>
  </si>
  <si>
    <t>Tufo riolítico</t>
  </si>
  <si>
    <t>Tufo vítreo</t>
  </si>
  <si>
    <t>Turfa</t>
  </si>
  <si>
    <t>Turjaito</t>
  </si>
  <si>
    <t>Turmalina granito</t>
  </si>
  <si>
    <t>Turmalina-muscovita xisto</t>
  </si>
  <si>
    <t>Turmalinito</t>
  </si>
  <si>
    <t>Turmalinito (Hidrotermal)</t>
  </si>
  <si>
    <t>Ugandito</t>
  </si>
  <si>
    <t>Ultracataclasito</t>
  </si>
  <si>
    <t>Ultramafito</t>
  </si>
  <si>
    <t>Ultramilonito</t>
  </si>
  <si>
    <t>Uncompahgrito</t>
  </si>
  <si>
    <t>Uralita diabásio</t>
  </si>
  <si>
    <t>Urtito</t>
  </si>
  <si>
    <t>Varvito</t>
  </si>
  <si>
    <t>Veio de barita</t>
  </si>
  <si>
    <t>Veio de calcita</t>
  </si>
  <si>
    <t>Veio de quartzo</t>
  </si>
  <si>
    <t>Veio de quartzo leitoso</t>
  </si>
  <si>
    <t>Venanzito</t>
  </si>
  <si>
    <t>Vesecito</t>
  </si>
  <si>
    <t>Websterito</t>
  </si>
  <si>
    <t>Wehrlito</t>
  </si>
  <si>
    <t>Xisto</t>
  </si>
  <si>
    <t>Xisto aluminoso</t>
  </si>
  <si>
    <t>Xisto Azul</t>
  </si>
  <si>
    <t>Xisto carbonático</t>
  </si>
  <si>
    <t>Xisto granatífero</t>
  </si>
  <si>
    <t>Xisto magnesiano</t>
  </si>
  <si>
    <t>Xisto pelítico</t>
  </si>
  <si>
    <t>Xisto ultramáfico</t>
  </si>
  <si>
    <t>Yakutito</t>
  </si>
  <si>
    <t>Petrografos</t>
  </si>
  <si>
    <t>C1pr - Pedra Redonda</t>
  </si>
  <si>
    <t>C1pr</t>
  </si>
  <si>
    <t>C2cb - Fazenda da Casa Branca</t>
  </si>
  <si>
    <t>C2cb</t>
  </si>
  <si>
    <t>J1_beta_a - Anarí</t>
  </si>
  <si>
    <r>
      <t>J1</t>
    </r>
    <r>
      <rPr>
        <sz val="11"/>
        <color theme="1"/>
        <rFont val="Calibri"/>
        <family val="2"/>
      </rPr>
      <t>βa</t>
    </r>
  </si>
  <si>
    <t>Jra - Rio Ávila</t>
  </si>
  <si>
    <t>Jra</t>
  </si>
  <si>
    <t>MP1co - Colorado</t>
  </si>
  <si>
    <t>MP1co</t>
  </si>
  <si>
    <t>MP1_gamma_p - Serra da Providência</t>
  </si>
  <si>
    <t>MP1p</t>
  </si>
  <si>
    <t>MP1_mu_t - Trincheira</t>
  </si>
  <si>
    <t>MP1t</t>
  </si>
  <si>
    <t>MP2_gamma_as - Granito Alto Saldanha</t>
  </si>
  <si>
    <t>MP2as</t>
  </si>
  <si>
    <t>MP1sf - São Felipe</t>
  </si>
  <si>
    <t>MP2sf</t>
  </si>
  <si>
    <t>MP3m - Migrantinópolis</t>
  </si>
  <si>
    <t>MP3m</t>
  </si>
  <si>
    <t>MP3_delta_nm - Novo Mundo</t>
  </si>
  <si>
    <t>MP3nm</t>
  </si>
  <si>
    <t>MP3rb - Rio Branco</t>
  </si>
  <si>
    <t>MP3rb</t>
  </si>
  <si>
    <t>MP3_gamma_rp - Rio Pardo</t>
  </si>
  <si>
    <t>MP3rp</t>
  </si>
  <si>
    <t>MP3tb - Terra Boa</t>
  </si>
  <si>
    <t>MP3tb</t>
  </si>
  <si>
    <t>NP1p - Palmeiral indiviso</t>
  </si>
  <si>
    <t>NP1p</t>
  </si>
  <si>
    <t>PP4ja - Jamari</t>
  </si>
  <si>
    <t>PP4ja</t>
  </si>
  <si>
    <t>SDpb - Pimenta Bueno</t>
  </si>
  <si>
    <t>SDpb</t>
  </si>
  <si>
    <t>UNIDADE ESTRATIGRÁFICA</t>
  </si>
  <si>
    <t>CÓDIGO ESTRATIGRÁFICO</t>
  </si>
  <si>
    <t>DES_TIPO_COR</t>
  </si>
  <si>
    <t>Amarelo</t>
  </si>
  <si>
    <t>Amarelo claro</t>
  </si>
  <si>
    <t>Amarelo escuro</t>
  </si>
  <si>
    <t>Azul claro</t>
  </si>
  <si>
    <t>Bege</t>
  </si>
  <si>
    <t>Branco</t>
  </si>
  <si>
    <t>Castanho</t>
  </si>
  <si>
    <t>Castanho claro</t>
  </si>
  <si>
    <t>Castanho escuro</t>
  </si>
  <si>
    <t>Cinza</t>
  </si>
  <si>
    <t>Cinza claro</t>
  </si>
  <si>
    <t>Cinza escuro</t>
  </si>
  <si>
    <t>Creme</t>
  </si>
  <si>
    <t>Creme claro</t>
  </si>
  <si>
    <t>Creme escuro</t>
  </si>
  <si>
    <t>Esbranquiçada</t>
  </si>
  <si>
    <t>Marrom</t>
  </si>
  <si>
    <t>Marrom claro</t>
  </si>
  <si>
    <t>Marrom escuro</t>
  </si>
  <si>
    <t>Ocre</t>
  </si>
  <si>
    <t>Preta</t>
  </si>
  <si>
    <t>Púrpura</t>
  </si>
  <si>
    <t>Rosa</t>
  </si>
  <si>
    <t>Rosa claro</t>
  </si>
  <si>
    <t>Rosa escuro</t>
  </si>
  <si>
    <t>Verde</t>
  </si>
  <si>
    <t>Verde claro</t>
  </si>
  <si>
    <t>Verde escuro</t>
  </si>
  <si>
    <t>Vermelho</t>
  </si>
  <si>
    <t>Vermelho claro</t>
  </si>
  <si>
    <t>Vermelho escuro</t>
  </si>
  <si>
    <t>Violeta</t>
  </si>
  <si>
    <t>Translúcida</t>
  </si>
  <si>
    <t>Laranja</t>
  </si>
  <si>
    <t>Roxo</t>
  </si>
  <si>
    <t>Azul</t>
  </si>
  <si>
    <t>Azul escuro</t>
  </si>
  <si>
    <t>Bege claro</t>
  </si>
  <si>
    <t>Bege escuro</t>
  </si>
  <si>
    <t>Fumê</t>
  </si>
  <si>
    <t>Laranja claro</t>
  </si>
  <si>
    <t>Laranja escuro</t>
  </si>
  <si>
    <t>Roxo claro</t>
  </si>
  <si>
    <t>Roxo escuro</t>
  </si>
  <si>
    <t>Cinza esverdeado</t>
  </si>
  <si>
    <t>Cinza rosado</t>
  </si>
  <si>
    <t>Interpretação</t>
  </si>
  <si>
    <t>Protólito</t>
  </si>
  <si>
    <t>Lâmina</t>
  </si>
  <si>
    <t>Original data</t>
  </si>
  <si>
    <t>1st normalization</t>
  </si>
  <si>
    <t>2nd Projection</t>
  </si>
  <si>
    <t>Q</t>
  </si>
  <si>
    <t>A</t>
  </si>
  <si>
    <t>P</t>
  </si>
  <si>
    <t>F</t>
  </si>
  <si>
    <t>A'</t>
  </si>
  <si>
    <t>B'</t>
  </si>
  <si>
    <t>C'</t>
  </si>
  <si>
    <t>X</t>
  </si>
  <si>
    <t>Y</t>
  </si>
  <si>
    <t>X-axis</t>
  </si>
  <si>
    <t>Px</t>
  </si>
  <si>
    <t>Hbl</t>
  </si>
  <si>
    <t>Mineral</t>
  </si>
  <si>
    <t>Pl</t>
  </si>
  <si>
    <t>Ol</t>
  </si>
  <si>
    <t>Cpx</t>
  </si>
  <si>
    <t>Opx</t>
  </si>
  <si>
    <t>Latitude</t>
  </si>
  <si>
    <t>Longitude</t>
  </si>
  <si>
    <t>Mínimo</t>
  </si>
  <si>
    <t>Máximo</t>
  </si>
  <si>
    <t>Médio</t>
  </si>
  <si>
    <r>
      <t>Toponímia</t>
    </r>
    <r>
      <rPr>
        <sz val="11"/>
        <color theme="1"/>
        <rFont val="Calibri"/>
        <family val="2"/>
        <scheme val="minor"/>
      </rPr>
      <t>:</t>
    </r>
  </si>
  <si>
    <t>Farid Chemale Júnior</t>
  </si>
  <si>
    <t>Paulo Henrique Amorim Dias</t>
  </si>
  <si>
    <t>ARIM FBS</t>
  </si>
  <si>
    <t>ARIM VU</t>
  </si>
  <si>
    <t>Marcus Paulo Sotero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</si>
</sst>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9"/>
      <name val="Tms Rmn"/>
    </font>
    <font>
      <b/>
      <sz val="9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8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8" fillId="0" borderId="0"/>
  </cellStyleXfs>
  <cellXfs count="123">
    <xf numFmtId="0" fontId="0" fillId="0" borderId="0" xfId="0"/>
    <xf numFmtId="0" fontId="0" fillId="0" borderId="0" xfId="0" applyAlignment="1">
      <alignment horizontal="center"/>
    </xf>
    <xf numFmtId="0" fontId="4" fillId="4" borderId="11" xfId="2" applyFont="1" applyFill="1" applyBorder="1" applyAlignment="1">
      <alignment horizontal="center"/>
    </xf>
    <xf numFmtId="0" fontId="4" fillId="0" borderId="12" xfId="2" applyFont="1" applyFill="1" applyBorder="1" applyAlignment="1">
      <alignment wrapText="1"/>
    </xf>
    <xf numFmtId="0" fontId="4" fillId="0" borderId="13" xfId="2" applyFont="1" applyFill="1" applyBorder="1" applyAlignment="1">
      <alignment wrapText="1"/>
    </xf>
    <xf numFmtId="0" fontId="4" fillId="0" borderId="14" xfId="2" applyFont="1" applyFill="1" applyBorder="1" applyAlignment="1">
      <alignment wrapText="1"/>
    </xf>
    <xf numFmtId="0" fontId="4" fillId="4" borderId="15" xfId="3" applyFont="1" applyFill="1" applyBorder="1" applyAlignment="1">
      <alignment horizontal="center"/>
    </xf>
    <xf numFmtId="0" fontId="4" fillId="0" borderId="13" xfId="3" applyFont="1" applyFill="1" applyBorder="1" applyAlignment="1">
      <alignment wrapText="1"/>
    </xf>
    <xf numFmtId="0" fontId="4" fillId="0" borderId="14" xfId="3" applyFont="1" applyFill="1" applyBorder="1" applyAlignment="1">
      <alignment wrapText="1"/>
    </xf>
    <xf numFmtId="0" fontId="4" fillId="4" borderId="11" xfId="1" applyFont="1" applyFill="1" applyBorder="1" applyAlignment="1">
      <alignment horizontal="center"/>
    </xf>
    <xf numFmtId="0" fontId="4" fillId="4" borderId="15" xfId="4" applyFont="1" applyFill="1" applyBorder="1" applyAlignment="1">
      <alignment horizontal="center"/>
    </xf>
    <xf numFmtId="0" fontId="0" fillId="0" borderId="0" xfId="0" applyAlignment="1" applyProtection="1"/>
    <xf numFmtId="0" fontId="4" fillId="0" borderId="13" xfId="3" applyFont="1" applyFill="1" applyBorder="1" applyAlignment="1"/>
    <xf numFmtId="0" fontId="4" fillId="0" borderId="12" xfId="1" applyFont="1" applyFill="1" applyBorder="1" applyAlignment="1"/>
    <xf numFmtId="0" fontId="4" fillId="0" borderId="13" xfId="4" applyFont="1" applyFill="1" applyBorder="1" applyAlignment="1"/>
    <xf numFmtId="0" fontId="4" fillId="0" borderId="13" xfId="1" applyFont="1" applyFill="1" applyBorder="1" applyAlignment="1"/>
    <xf numFmtId="0" fontId="4" fillId="0" borderId="14" xfId="4" applyFont="1" applyFill="1" applyBorder="1" applyAlignment="1"/>
    <xf numFmtId="0" fontId="4" fillId="0" borderId="14" xfId="1" applyFont="1" applyFill="1" applyBorder="1" applyAlignment="1"/>
    <xf numFmtId="0" fontId="4" fillId="0" borderId="13" xfId="1" applyFont="1" applyFill="1" applyBorder="1" applyAlignment="1" applyProtection="1"/>
    <xf numFmtId="0" fontId="4" fillId="0" borderId="14" xfId="1" applyFont="1" applyFill="1" applyBorder="1" applyAlignment="1" applyProtection="1"/>
    <xf numFmtId="0" fontId="4" fillId="0" borderId="14" xfId="3" applyFont="1" applyFill="1" applyBorder="1" applyAlignment="1"/>
    <xf numFmtId="0" fontId="0" fillId="0" borderId="0" xfId="0" applyAlignment="1" applyProtection="1">
      <alignment horizontal="center"/>
    </xf>
    <xf numFmtId="0" fontId="4" fillId="0" borderId="13" xfId="5" applyFont="1" applyFill="1" applyBorder="1" applyAlignment="1">
      <alignment wrapText="1"/>
    </xf>
    <xf numFmtId="0" fontId="4" fillId="4" borderId="15" xfId="5" applyFont="1" applyFill="1" applyBorder="1" applyAlignment="1">
      <alignment horizontal="center"/>
    </xf>
    <xf numFmtId="0" fontId="4" fillId="0" borderId="14" xfId="5" applyFont="1" applyFill="1" applyBorder="1" applyAlignment="1">
      <alignment wrapText="1"/>
    </xf>
    <xf numFmtId="0" fontId="4" fillId="0" borderId="13" xfId="2" applyFont="1" applyFill="1" applyBorder="1" applyAlignment="1"/>
    <xf numFmtId="0" fontId="4" fillId="0" borderId="14" xfId="2" applyFont="1" applyFill="1" applyBorder="1" applyAlignment="1"/>
    <xf numFmtId="0" fontId="0" fillId="0" borderId="0" xfId="0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Font="1" applyBorder="1" applyProtection="1">
      <protection locked="0"/>
    </xf>
    <xf numFmtId="0" fontId="0" fillId="0" borderId="17" xfId="0" applyFont="1" applyBorder="1" applyProtection="1">
      <protection locked="0"/>
    </xf>
    <xf numFmtId="0" fontId="8" fillId="0" borderId="0" xfId="6" applyAlignment="1">
      <alignment horizontal="center"/>
    </xf>
    <xf numFmtId="2" fontId="8" fillId="7" borderId="0" xfId="6" applyNumberFormat="1" applyFill="1" applyAlignment="1">
      <alignment horizontal="left"/>
    </xf>
    <xf numFmtId="2" fontId="8" fillId="7" borderId="0" xfId="6" applyNumberFormat="1" applyFill="1"/>
    <xf numFmtId="2" fontId="8" fillId="7" borderId="0" xfId="6" applyNumberFormat="1" applyFill="1" applyAlignment="1">
      <alignment horizontal="center"/>
    </xf>
    <xf numFmtId="0" fontId="8" fillId="7" borderId="0" xfId="6" applyFill="1" applyAlignment="1">
      <alignment horizontal="center"/>
    </xf>
    <xf numFmtId="0" fontId="8" fillId="8" borderId="0" xfId="6" applyFill="1" applyAlignment="1">
      <alignment horizontal="left"/>
    </xf>
    <xf numFmtId="0" fontId="8" fillId="8" borderId="0" xfId="6" applyFill="1" applyAlignment="1">
      <alignment horizontal="center"/>
    </xf>
    <xf numFmtId="0" fontId="8" fillId="9" borderId="0" xfId="6" applyFill="1" applyAlignment="1">
      <alignment horizontal="left"/>
    </xf>
    <xf numFmtId="0" fontId="8" fillId="9" borderId="0" xfId="6" applyFill="1" applyAlignment="1">
      <alignment horizontal="center"/>
    </xf>
    <xf numFmtId="164" fontId="8" fillId="0" borderId="0" xfId="6" applyNumberFormat="1" applyAlignment="1">
      <alignment horizontal="center"/>
    </xf>
    <xf numFmtId="2" fontId="8" fillId="0" borderId="0" xfId="6" applyNumberFormat="1"/>
    <xf numFmtId="164" fontId="8" fillId="0" borderId="0" xfId="6" applyNumberFormat="1"/>
    <xf numFmtId="0" fontId="8" fillId="0" borderId="0" xfId="6"/>
    <xf numFmtId="2" fontId="8" fillId="8" borderId="0" xfId="6" applyNumberFormat="1" applyFill="1" applyAlignment="1">
      <alignment horizontal="center"/>
    </xf>
    <xf numFmtId="165" fontId="8" fillId="0" borderId="0" xfId="6" applyNumberFormat="1" applyAlignment="1">
      <alignment horizontal="left"/>
    </xf>
    <xf numFmtId="2" fontId="8" fillId="0" borderId="0" xfId="6" applyNumberFormat="1" applyAlignment="1">
      <alignment horizontal="right"/>
    </xf>
    <xf numFmtId="2" fontId="8" fillId="0" borderId="0" xfId="6" applyNumberFormat="1" applyAlignment="1">
      <alignment horizontal="left"/>
    </xf>
    <xf numFmtId="0" fontId="8" fillId="0" borderId="0" xfId="6" applyAlignment="1">
      <alignment horizontal="left"/>
    </xf>
    <xf numFmtId="0" fontId="8" fillId="7" borderId="0" xfId="6" applyFill="1"/>
    <xf numFmtId="0" fontId="9" fillId="0" borderId="0" xfId="6" applyFont="1" applyBorder="1" applyAlignment="1">
      <alignment horizontal="right"/>
    </xf>
    <xf numFmtId="0" fontId="11" fillId="0" borderId="0" xfId="0" applyFont="1" applyAlignment="1">
      <alignment vertical="center"/>
    </xf>
    <xf numFmtId="0" fontId="12" fillId="0" borderId="0" xfId="0" applyFont="1" applyAlignment="1"/>
    <xf numFmtId="0" fontId="10" fillId="11" borderId="1" xfId="0" applyFont="1" applyFill="1" applyBorder="1" applyAlignment="1" applyProtection="1">
      <alignment horizontal="center" wrapText="1"/>
    </xf>
    <xf numFmtId="0" fontId="10" fillId="11" borderId="1" xfId="0" applyFont="1" applyFill="1" applyBorder="1" applyAlignment="1">
      <alignment horizontal="left" wrapText="1"/>
    </xf>
    <xf numFmtId="14" fontId="13" fillId="0" borderId="6" xfId="0" applyNumberFormat="1" applyFont="1" applyBorder="1" applyAlignment="1" applyProtection="1">
      <alignment horizontal="center" wrapText="1"/>
      <protection locked="0"/>
    </xf>
    <xf numFmtId="0" fontId="10" fillId="0" borderId="0" xfId="0" applyFont="1" applyBorder="1" applyAlignment="1">
      <alignment vertical="center" wrapText="1"/>
    </xf>
    <xf numFmtId="0" fontId="13" fillId="0" borderId="1" xfId="0" applyFont="1" applyBorder="1" applyAlignment="1" applyProtection="1">
      <alignment horizontal="center" wrapText="1"/>
      <protection locked="0"/>
    </xf>
    <xf numFmtId="0" fontId="13" fillId="0" borderId="0" xfId="0" applyFont="1" applyAlignment="1" applyProtection="1">
      <alignment horizontal="center" wrapText="1"/>
      <protection locked="0"/>
    </xf>
    <xf numFmtId="0" fontId="10" fillId="11" borderId="2" xfId="0" applyFont="1" applyFill="1" applyBorder="1" applyAlignment="1">
      <alignment horizontal="left" wrapText="1"/>
    </xf>
    <xf numFmtId="0" fontId="13" fillId="0" borderId="2" xfId="0" applyFont="1" applyBorder="1" applyAlignment="1" applyProtection="1">
      <alignment horizontal="center" wrapText="1"/>
      <protection locked="0"/>
    </xf>
    <xf numFmtId="0" fontId="10" fillId="0" borderId="5" xfId="0" applyFont="1" applyBorder="1" applyAlignment="1">
      <alignment vertical="center" wrapText="1"/>
    </xf>
    <xf numFmtId="0" fontId="10" fillId="11" borderId="1" xfId="0" applyFont="1" applyFill="1" applyBorder="1" applyAlignment="1">
      <alignment horizontal="justify" wrapText="1"/>
    </xf>
    <xf numFmtId="0" fontId="13" fillId="0" borderId="5" xfId="0" applyFont="1" applyBorder="1" applyAlignment="1">
      <alignment wrapText="1"/>
    </xf>
    <xf numFmtId="0" fontId="10" fillId="11" borderId="7" xfId="0" applyFont="1" applyFill="1" applyBorder="1" applyAlignment="1">
      <alignment horizontal="left" wrapText="1"/>
    </xf>
    <xf numFmtId="0" fontId="13" fillId="0" borderId="7" xfId="0" applyFont="1" applyBorder="1" applyAlignment="1" applyProtection="1">
      <alignment horizontal="center" wrapText="1"/>
      <protection locked="0"/>
    </xf>
    <xf numFmtId="0" fontId="13" fillId="0" borderId="9" xfId="0" applyFont="1" applyBorder="1" applyAlignment="1">
      <alignment wrapText="1"/>
    </xf>
    <xf numFmtId="0" fontId="10" fillId="11" borderId="31" xfId="0" applyFont="1" applyFill="1" applyBorder="1" applyAlignment="1">
      <alignment horizontal="justify" vertical="center" wrapText="1"/>
    </xf>
    <xf numFmtId="0" fontId="12" fillId="0" borderId="0" xfId="0" applyFont="1"/>
    <xf numFmtId="0" fontId="10" fillId="11" borderId="3" xfId="0" applyFont="1" applyFill="1" applyBorder="1" applyAlignment="1">
      <alignment horizontal="center" wrapText="1"/>
    </xf>
    <xf numFmtId="0" fontId="13" fillId="5" borderId="20" xfId="0" applyFont="1" applyFill="1" applyBorder="1" applyAlignment="1" applyProtection="1">
      <alignment horizontal="center" wrapText="1"/>
      <protection locked="0"/>
    </xf>
    <xf numFmtId="0" fontId="13" fillId="5" borderId="21" xfId="0" applyFont="1" applyFill="1" applyBorder="1" applyAlignment="1" applyProtection="1">
      <alignment horizontal="center" wrapText="1"/>
      <protection locked="0"/>
    </xf>
    <xf numFmtId="0" fontId="13" fillId="5" borderId="5" xfId="0" applyFont="1" applyFill="1" applyBorder="1" applyAlignment="1" applyProtection="1">
      <alignment horizontal="center" wrapText="1"/>
      <protection locked="0"/>
    </xf>
    <xf numFmtId="0" fontId="13" fillId="0" borderId="20" xfId="0" applyFont="1" applyBorder="1" applyAlignment="1" applyProtection="1">
      <alignment horizontal="center" wrapText="1"/>
      <protection locked="0"/>
    </xf>
    <xf numFmtId="0" fontId="13" fillId="0" borderId="21" xfId="0" applyFont="1" applyBorder="1" applyAlignment="1" applyProtection="1">
      <alignment horizontal="center" wrapText="1"/>
      <protection locked="0"/>
    </xf>
    <xf numFmtId="0" fontId="13" fillId="0" borderId="5" xfId="0" applyFont="1" applyBorder="1" applyAlignment="1" applyProtection="1">
      <alignment horizontal="center" wrapText="1"/>
      <protection locked="0"/>
    </xf>
    <xf numFmtId="0" fontId="10" fillId="10" borderId="8" xfId="0" applyFont="1" applyFill="1" applyBorder="1" applyAlignment="1" applyProtection="1">
      <alignment horizontal="center" vertical="center" wrapText="1"/>
      <protection locked="0"/>
    </xf>
    <xf numFmtId="0" fontId="13" fillId="0" borderId="18" xfId="0" applyFont="1" applyBorder="1" applyAlignment="1" applyProtection="1">
      <alignment horizontal="center" vertical="center" wrapText="1"/>
      <protection locked="0"/>
    </xf>
    <xf numFmtId="0" fontId="10" fillId="12" borderId="20" xfId="0" applyFont="1" applyFill="1" applyBorder="1" applyAlignment="1" applyProtection="1">
      <alignment horizontal="center" vertical="center" wrapText="1"/>
      <protection locked="0"/>
    </xf>
    <xf numFmtId="0" fontId="13" fillId="5" borderId="21" xfId="0" applyFont="1" applyFill="1" applyBorder="1" applyAlignment="1" applyProtection="1">
      <alignment horizontal="center" vertical="center" wrapText="1"/>
      <protection locked="0"/>
    </xf>
    <xf numFmtId="0" fontId="13" fillId="5" borderId="5" xfId="0" applyFont="1" applyFill="1" applyBorder="1" applyAlignment="1" applyProtection="1">
      <alignment horizontal="center" vertical="center" wrapText="1"/>
      <protection locked="0"/>
    </xf>
    <xf numFmtId="0" fontId="10" fillId="10" borderId="20" xfId="0" applyFont="1" applyFill="1" applyBorder="1" applyAlignment="1" applyProtection="1">
      <alignment horizontal="center" vertical="center" wrapText="1"/>
      <protection locked="0"/>
    </xf>
    <xf numFmtId="0" fontId="13" fillId="0" borderId="21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vertical="center" wrapText="1"/>
      <protection locked="0"/>
    </xf>
    <xf numFmtId="0" fontId="10" fillId="6" borderId="0" xfId="0" applyFont="1" applyFill="1" applyBorder="1" applyAlignment="1" applyProtection="1">
      <alignment horizontal="center" vertical="center" wrapText="1"/>
      <protection locked="0"/>
    </xf>
    <xf numFmtId="0" fontId="13" fillId="6" borderId="0" xfId="0" applyFont="1" applyFill="1" applyBorder="1" applyAlignment="1" applyProtection="1">
      <alignment horizontal="center" vertical="center" wrapText="1"/>
      <protection locked="0"/>
    </xf>
    <xf numFmtId="0" fontId="12" fillId="6" borderId="0" xfId="0" applyFont="1" applyFill="1" applyBorder="1" applyAlignment="1"/>
    <xf numFmtId="0" fontId="10" fillId="10" borderId="22" xfId="0" applyFont="1" applyFill="1" applyBorder="1" applyAlignment="1">
      <alignment horizontal="center" wrapText="1"/>
    </xf>
    <xf numFmtId="0" fontId="10" fillId="12" borderId="26" xfId="0" applyFont="1" applyFill="1" applyBorder="1" applyAlignment="1">
      <alignment horizontal="center" wrapText="1"/>
    </xf>
    <xf numFmtId="0" fontId="10" fillId="10" borderId="27" xfId="0" applyFont="1" applyFill="1" applyBorder="1" applyAlignment="1">
      <alignment horizontal="center" wrapText="1"/>
    </xf>
    <xf numFmtId="0" fontId="13" fillId="6" borderId="30" xfId="0" applyFont="1" applyFill="1" applyBorder="1" applyAlignment="1" applyProtection="1">
      <alignment horizontal="center" wrapText="1"/>
      <protection locked="0"/>
    </xf>
    <xf numFmtId="0" fontId="13" fillId="0" borderId="0" xfId="0" applyFont="1" applyAlignment="1">
      <alignment wrapText="1"/>
    </xf>
    <xf numFmtId="0" fontId="13" fillId="0" borderId="18" xfId="0" applyFont="1" applyBorder="1" applyAlignment="1" applyProtection="1">
      <alignment horizontal="center" wrapText="1"/>
      <protection locked="0"/>
    </xf>
    <xf numFmtId="0" fontId="0" fillId="3" borderId="32" xfId="0" applyFont="1" applyFill="1" applyBorder="1" applyProtection="1">
      <protection locked="0"/>
    </xf>
    <xf numFmtId="0" fontId="10" fillId="11" borderId="0" xfId="0" applyFont="1" applyFill="1" applyBorder="1" applyAlignment="1">
      <alignment horizontal="center" wrapText="1"/>
    </xf>
    <xf numFmtId="0" fontId="10" fillId="11" borderId="3" xfId="0" applyFont="1" applyFill="1" applyBorder="1" applyAlignment="1">
      <alignment horizontal="center" wrapText="1"/>
    </xf>
    <xf numFmtId="0" fontId="10" fillId="0" borderId="0" xfId="0" applyFont="1" applyBorder="1" applyAlignment="1">
      <alignment horizontal="center" vertical="center" wrapText="1"/>
    </xf>
    <xf numFmtId="0" fontId="13" fillId="0" borderId="2" xfId="0" applyFont="1" applyBorder="1" applyAlignment="1" applyProtection="1">
      <alignment horizontal="center" wrapText="1"/>
      <protection locked="0"/>
    </xf>
    <xf numFmtId="0" fontId="13" fillId="0" borderId="6" xfId="0" applyFont="1" applyBorder="1" applyAlignment="1" applyProtection="1">
      <alignment horizontal="center" wrapText="1"/>
      <protection locked="0"/>
    </xf>
    <xf numFmtId="0" fontId="13" fillId="0" borderId="18" xfId="0" applyFont="1" applyBorder="1" applyAlignment="1" applyProtection="1">
      <alignment horizontal="center" wrapText="1"/>
      <protection locked="0"/>
    </xf>
    <xf numFmtId="0" fontId="13" fillId="0" borderId="1" xfId="0" applyFont="1" applyBorder="1" applyAlignment="1" applyProtection="1">
      <alignment horizontal="justify" vertical="center" wrapText="1"/>
      <protection locked="0"/>
    </xf>
    <xf numFmtId="0" fontId="14" fillId="0" borderId="31" xfId="0" applyFont="1" applyBorder="1" applyAlignment="1" applyProtection="1">
      <alignment horizontal="justify" vertical="center" wrapText="1"/>
      <protection locked="0"/>
    </xf>
    <xf numFmtId="0" fontId="13" fillId="0" borderId="0" xfId="0" applyFont="1" applyAlignment="1" applyProtection="1">
      <alignment horizontal="center" wrapText="1"/>
    </xf>
    <xf numFmtId="0" fontId="13" fillId="0" borderId="5" xfId="0" applyFont="1" applyBorder="1" applyAlignment="1" applyProtection="1">
      <alignment horizontal="center" wrapText="1"/>
    </xf>
    <xf numFmtId="0" fontId="13" fillId="0" borderId="0" xfId="0" applyFont="1" applyBorder="1" applyAlignment="1" applyProtection="1">
      <alignment horizontal="center" wrapText="1"/>
    </xf>
    <xf numFmtId="0" fontId="15" fillId="0" borderId="0" xfId="0" applyFont="1" applyAlignment="1" applyProtection="1">
      <alignment horizontal="center" vertical="top" wrapText="1"/>
      <protection locked="0"/>
    </xf>
    <xf numFmtId="0" fontId="15" fillId="0" borderId="5" xfId="0" applyFont="1" applyBorder="1" applyAlignment="1" applyProtection="1">
      <alignment horizontal="center" vertical="top" wrapText="1"/>
      <protection locked="0"/>
    </xf>
    <xf numFmtId="0" fontId="15" fillId="0" borderId="0" xfId="0" applyFont="1" applyBorder="1" applyAlignment="1" applyProtection="1">
      <alignment horizontal="center" vertical="top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19" xfId="0" applyFont="1" applyBorder="1" applyAlignment="1" applyProtection="1">
      <alignment horizontal="center" vertical="center" wrapText="1"/>
      <protection locked="0"/>
    </xf>
    <xf numFmtId="0" fontId="13" fillId="0" borderId="6" xfId="0" applyFont="1" applyBorder="1" applyAlignment="1" applyProtection="1">
      <alignment horizontal="center" vertical="center" wrapText="1"/>
      <protection locked="0"/>
    </xf>
    <xf numFmtId="0" fontId="10" fillId="11" borderId="4" xfId="0" applyFont="1" applyFill="1" applyBorder="1" applyAlignment="1">
      <alignment horizontal="center" wrapText="1"/>
    </xf>
    <xf numFmtId="0" fontId="10" fillId="11" borderId="0" xfId="0" applyFont="1" applyFill="1" applyBorder="1" applyAlignment="1">
      <alignment horizontal="center" vertical="center" wrapText="1"/>
    </xf>
    <xf numFmtId="0" fontId="13" fillId="0" borderId="23" xfId="0" applyFont="1" applyBorder="1" applyAlignment="1" applyProtection="1">
      <alignment horizontal="left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0" fontId="13" fillId="0" borderId="25" xfId="0" applyFont="1" applyBorder="1" applyAlignment="1" applyProtection="1">
      <alignment horizontal="left" wrapText="1"/>
      <protection locked="0"/>
    </xf>
    <xf numFmtId="0" fontId="10" fillId="11" borderId="4" xfId="0" applyFont="1" applyFill="1" applyBorder="1" applyAlignment="1">
      <alignment horizontal="center" vertical="center" wrapText="1"/>
    </xf>
    <xf numFmtId="0" fontId="13" fillId="6" borderId="28" xfId="0" applyFont="1" applyFill="1" applyBorder="1" applyAlignment="1" applyProtection="1">
      <alignment horizontal="left" wrapText="1"/>
      <protection locked="0"/>
    </xf>
    <xf numFmtId="0" fontId="13" fillId="6" borderId="29" xfId="0" applyFont="1" applyFill="1" applyBorder="1" applyAlignment="1" applyProtection="1">
      <alignment horizontal="left" wrapText="1"/>
      <protection locked="0"/>
    </xf>
  </cellXfs>
  <cellStyles count="7">
    <cellStyle name="Normal" xfId="0" builtinId="0"/>
    <cellStyle name="Normal 2" xfId="6" xr:uid="{00000000-0005-0000-0000-000001000000}"/>
    <cellStyle name="Normal_Planilha2" xfId="5" xr:uid="{00000000-0005-0000-0000-000002000000}"/>
    <cellStyle name="Normal_VALIDAÇÃO_1" xfId="3" xr:uid="{00000000-0005-0000-0000-000003000000}"/>
    <cellStyle name="Normal_VALIDAÇÃO_2" xfId="4" xr:uid="{00000000-0005-0000-0000-000004000000}"/>
    <cellStyle name="Texto de Aviso" xfId="1" builtinId="11"/>
    <cellStyle name="Texto Explicativo" xfId="2" builtinId="53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  <protection locked="0" hidden="0"/>
    </dxf>
    <dxf>
      <border outline="0">
        <top style="thin">
          <color theme="5" tint="0.39997558519241921"/>
        </top>
      </border>
    </dxf>
    <dxf>
      <border outline="0">
        <right style="thin">
          <color theme="5" tint="0.39997558519241921"/>
        </right>
        <top style="thin">
          <color theme="5" tint="0.3999755851924192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/>
        <horizontal/>
      </border>
      <protection locked="0" hidden="0"/>
    </dxf>
    <dxf>
      <fill>
        <patternFill patternType="solid">
          <fgColor theme="5" tint="0.79998168889431442"/>
          <bgColor theme="5" tint="0.79998168889431442"/>
        </patternFill>
      </fill>
      <protection locked="0" hidden="0"/>
    </dxf>
    <dxf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20"/>
          <c:order val="17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'QAPF-Vulcanicas_gf'!$C$1:$C$3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B0-40CC-9B3D-B3384459F70C}"/>
            </c:ext>
          </c:extLst>
        </c:ser>
        <c:ser>
          <c:idx val="21"/>
          <c:order val="18"/>
          <c:spPr>
            <a:ln w="28575">
              <a:noFill/>
            </a:ln>
          </c:spPr>
          <c:marker>
            <c:symbol val="none"/>
          </c:marker>
          <c:xVal>
            <c:numRef>
              <c:f>'QAPF-Vulcanicas_gf'!$N$3:$N$24</c:f>
            </c:numRef>
          </c:xVal>
          <c:yVal>
            <c:numRef>
              <c:f>'QAPF-Vulcanicas_gf'!$O$3:$O$24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B0-40CC-9B3D-B3384459F70C}"/>
            </c:ext>
          </c:extLst>
        </c:ser>
        <c:ser>
          <c:idx val="22"/>
          <c:order val="19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0.65</c:v>
                </c:pt>
              </c:numCache>
            </c:numRef>
          </c:xVal>
          <c:yVal>
            <c:numRef>
              <c:f>'QAPF-Vulcanicas_gf'!$B$8:$B$9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B0-40CC-9B3D-B3384459F70C}"/>
            </c:ext>
          </c:extLst>
        </c:ser>
        <c:ser>
          <c:idx val="23"/>
          <c:order val="20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B0-40CC-9B3D-B3384459F70C}"/>
            </c:ext>
          </c:extLst>
        </c:ser>
        <c:ser>
          <c:idx val="24"/>
          <c:order val="21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B0-40CC-9B3D-B3384459F70C}"/>
            </c:ext>
          </c:extLst>
        </c:ser>
        <c:ser>
          <c:idx val="25"/>
          <c:order val="22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'QAPF-Vulcanicas_gf'!$O$29:$O$30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CB0-40CC-9B3D-B3384459F70C}"/>
            </c:ext>
          </c:extLst>
        </c:ser>
        <c:ser>
          <c:idx val="26"/>
          <c:order val="23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'QAPF-Vulcanicas_gf'!$N$31:$N$32</c:f>
              <c:numCache>
                <c:formatCode>General</c:formatCode>
                <c:ptCount val="2"/>
                <c:pt idx="0">
                  <c:v>0.64500000000000002</c:v>
                </c:pt>
                <c:pt idx="1">
                  <c:v>2.5000000000000001E-2</c:v>
                </c:pt>
              </c:numCache>
            </c:numRef>
          </c:xVal>
          <c:yVal>
            <c:numRef>
              <c:f>'QAPF-Vulcanicas_gf'!$O$31:$O$32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B0-40CC-9B3D-B3384459F70C}"/>
            </c:ext>
          </c:extLst>
        </c:ser>
        <c:ser>
          <c:idx val="27"/>
          <c:order val="24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CB0-40CC-9B3D-B3384459F70C}"/>
            </c:ext>
          </c:extLst>
        </c:ser>
        <c:ser>
          <c:idx val="28"/>
          <c:order val="25"/>
          <c:tx>
            <c:v>6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'QAPF-Vulcanicas_gf'!$N$36:$N$37</c:f>
              <c:numCache>
                <c:formatCode>General</c:formatCode>
                <c:ptCount val="2"/>
                <c:pt idx="0">
                  <c:v>0.82</c:v>
                </c:pt>
                <c:pt idx="1">
                  <c:v>0.65999999999999992</c:v>
                </c:pt>
              </c:numCache>
            </c:numRef>
          </c:xVal>
          <c:yVal>
            <c:numRef>
              <c:f>'QAPF-Vulcanicas_gf'!$O$36:$O$37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CB0-40CC-9B3D-B3384459F70C}"/>
            </c:ext>
          </c:extLst>
        </c:ser>
        <c:ser>
          <c:idx val="29"/>
          <c:order val="26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'QAPF-Vulcanicas_gf'!$O$38:$O$39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CB0-40CC-9B3D-B3384459F70C}"/>
            </c:ext>
          </c:extLst>
        </c:ser>
        <c:ser>
          <c:idx val="30"/>
          <c:order val="27"/>
          <c:tx>
            <c:v>8</c:v>
          </c:tx>
          <c:spPr>
            <a:ln w="19050" cap="flat" cmpd="sng" algn="ctr">
              <a:solidFill>
                <a:schemeClr val="tx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'QAPF-Vulcanicas_gf'!$O$41:$O$42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CB0-40CC-9B3D-B3384459F70C}"/>
            </c:ext>
          </c:extLst>
        </c:ser>
        <c:ser>
          <c:idx val="31"/>
          <c:order val="28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'QAPF-Vulcanicas_gf'!$C$4:$C$5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CB0-40CC-9B3D-B3384459F70C}"/>
            </c:ext>
          </c:extLst>
        </c:ser>
        <c:ser>
          <c:idx val="32"/>
          <c:order val="2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'QAPF-Vulcanicas_gf'!$C$5:$C$6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CB0-40CC-9B3D-B3384459F70C}"/>
            </c:ext>
          </c:extLst>
        </c:ser>
        <c:ser>
          <c:idx val="33"/>
          <c:order val="30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CB0-40CC-9B3D-B3384459F70C}"/>
            </c:ext>
          </c:extLst>
        </c:ser>
        <c:ser>
          <c:idx val="34"/>
          <c:order val="31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'QAPF-Vulcanicas_gf'!$O$45:$O$46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CB0-40CC-9B3D-B3384459F70C}"/>
            </c:ext>
          </c:extLst>
        </c:ser>
        <c:ser>
          <c:idx val="35"/>
          <c:order val="32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CB0-40CC-9B3D-B3384459F70C}"/>
            </c:ext>
          </c:extLst>
        </c:ser>
        <c:ser>
          <c:idx val="36"/>
          <c:order val="33"/>
          <c:tx>
            <c:v>14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0.8600000000000001</c:v>
                </c:pt>
              </c:numCache>
            </c:numRef>
          </c:xVal>
          <c:yVal>
            <c:numRef>
              <c:f>'QAPF-Vulcanicas_gf'!$O$49:$O$50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CB0-40CC-9B3D-B3384459F70C}"/>
            </c:ext>
          </c:extLst>
        </c:ser>
        <c:ser>
          <c:idx val="37"/>
          <c:order val="34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'QAPF-Vulcanicas_gf'!$O$51:$O$52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CB0-40CC-9B3D-B3384459F70C}"/>
            </c:ext>
          </c:extLst>
        </c:ser>
        <c:ser>
          <c:idx val="38"/>
          <c:order val="35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'QAPF-Vulcanicas_gf'!$O$53:$O$54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CB0-40CC-9B3D-B3384459F70C}"/>
            </c:ext>
          </c:extLst>
        </c:ser>
        <c:ser>
          <c:idx val="39"/>
          <c:order val="36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'QAPF-Vulcanicas_gf'!$O$55:$O$56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CB0-40CC-9B3D-B3384459F70C}"/>
            </c:ext>
          </c:extLst>
        </c:ser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'QAPF-Vulcanicas_gf'!$C$1:$C$3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CB0-40CC-9B3D-B3384459F70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0.65</c:v>
                </c:pt>
              </c:numCache>
            </c:numRef>
          </c:xVal>
          <c:yVal>
            <c:numRef>
              <c:f>'QAPF-Vulcanicas_gf'!$B$8:$B$9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CB0-40CC-9B3D-B3384459F70C}"/>
            </c:ext>
          </c:extLst>
        </c:ser>
        <c:ser>
          <c:idx val="2"/>
          <c:order val="2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CB0-40CC-9B3D-B3384459F70C}"/>
            </c:ext>
          </c:extLst>
        </c:ser>
        <c:ser>
          <c:idx val="4"/>
          <c:order val="3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CB0-40CC-9B3D-B3384459F70C}"/>
            </c:ext>
          </c:extLst>
        </c:ser>
        <c:ser>
          <c:idx val="5"/>
          <c:order val="4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'QAPF-Vulcanicas_gf'!$O$29:$O$30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CB0-40CC-9B3D-B3384459F70C}"/>
            </c:ext>
          </c:extLst>
        </c:ser>
        <c:ser>
          <c:idx val="6"/>
          <c:order val="5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'QAPF-Vulcanicas_gf'!$N$31:$N$32</c:f>
              <c:numCache>
                <c:formatCode>General</c:formatCode>
                <c:ptCount val="2"/>
                <c:pt idx="0">
                  <c:v>0.64500000000000002</c:v>
                </c:pt>
                <c:pt idx="1">
                  <c:v>2.5000000000000001E-2</c:v>
                </c:pt>
              </c:numCache>
            </c:numRef>
          </c:xVal>
          <c:yVal>
            <c:numRef>
              <c:f>'QAPF-Vulcanicas_gf'!$O$31:$O$32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CB0-40CC-9B3D-B3384459F70C}"/>
            </c:ext>
          </c:extLst>
        </c:ser>
        <c:ser>
          <c:idx val="7"/>
          <c:order val="6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CB0-40CC-9B3D-B3384459F70C}"/>
            </c:ext>
          </c:extLst>
        </c:ser>
        <c:ser>
          <c:idx val="9"/>
          <c:order val="7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'QAPF-Vulcanicas_gf'!$O$38:$O$39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CB0-40CC-9B3D-B3384459F70C}"/>
            </c:ext>
          </c:extLst>
        </c:ser>
        <c:ser>
          <c:idx val="10"/>
          <c:order val="8"/>
          <c:tx>
            <c:v>8</c:v>
          </c:tx>
          <c:spPr>
            <a:ln w="25400" cap="flat" cmpd="sng" algn="ctr">
              <a:noFill/>
              <a:prstDash val="dash"/>
            </a:ln>
            <a:effectLst/>
          </c:spPr>
          <c:marker>
            <c:symbol val="none"/>
          </c:marker>
          <c:xVal>
            <c:numRef>
              <c:f>'QAPF-Vulcanicas_gf'!$N$41:$N$42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'QAPF-Vulcanicas_gf'!$O$41:$O$42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CB0-40CC-9B3D-B3384459F70C}"/>
            </c:ext>
          </c:extLst>
        </c:ser>
        <c:ser>
          <c:idx val="11"/>
          <c:order val="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'QAPF-Vulcanicas_gf'!$C$4:$C$5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CB0-40CC-9B3D-B3384459F70C}"/>
            </c:ext>
          </c:extLst>
        </c:ser>
        <c:ser>
          <c:idx val="12"/>
          <c:order val="1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'QAPF-Vulcanicas_gf'!$C$5:$C$6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CB0-40CC-9B3D-B3384459F70C}"/>
            </c:ext>
          </c:extLst>
        </c:ser>
        <c:ser>
          <c:idx val="13"/>
          <c:order val="1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CB0-40CC-9B3D-B3384459F70C}"/>
            </c:ext>
          </c:extLst>
        </c:ser>
        <c:ser>
          <c:idx val="14"/>
          <c:order val="1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'QAPF-Vulcanicas_gf'!$O$45:$O$46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CB0-40CC-9B3D-B3384459F70C}"/>
            </c:ext>
          </c:extLst>
        </c:ser>
        <c:ser>
          <c:idx val="15"/>
          <c:order val="1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CB0-40CC-9B3D-B3384459F70C}"/>
            </c:ext>
          </c:extLst>
        </c:ser>
        <c:ser>
          <c:idx val="17"/>
          <c:order val="14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'QAPF-Vulcanicas_gf'!$O$51:$O$52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CB0-40CC-9B3D-B3384459F70C}"/>
            </c:ext>
          </c:extLst>
        </c:ser>
        <c:ser>
          <c:idx val="18"/>
          <c:order val="15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'QAPF-Vulcanicas_gf'!$O$53:$O$54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CB0-40CC-9B3D-B3384459F70C}"/>
            </c:ext>
          </c:extLst>
        </c:ser>
        <c:ser>
          <c:idx val="19"/>
          <c:order val="16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'QAPF-Vulcanicas_gf'!$O$55:$O$56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CB0-40CC-9B3D-B3384459F70C}"/>
            </c:ext>
          </c:extLst>
        </c:ser>
        <c:ser>
          <c:idx val="40"/>
          <c:order val="37"/>
          <c:tx>
            <c:v>18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'QAPF-Vulcanicas_gf'!$N$57:$N$58</c:f>
              <c:numCache>
                <c:formatCode>General</c:formatCode>
                <c:ptCount val="2"/>
                <c:pt idx="0">
                  <c:v>0.35</c:v>
                </c:pt>
                <c:pt idx="1">
                  <c:v>0.38</c:v>
                </c:pt>
              </c:numCache>
            </c:numRef>
          </c:xVal>
          <c:yVal>
            <c:numRef>
              <c:f>'QAPF-Vulcanicas_gf'!$O$57:$O$58</c:f>
              <c:numCache>
                <c:formatCode>General</c:formatCode>
                <c:ptCount val="2"/>
                <c:pt idx="0">
                  <c:v>0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CB0-40CC-9B3D-B3384459F70C}"/>
            </c:ext>
          </c:extLst>
        </c:ser>
        <c:ser>
          <c:idx val="8"/>
          <c:order val="38"/>
          <c:tx>
            <c:v>19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'QAPF-Vulcanicas_gf'!$N$59:$N$60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'QAPF-Vulcanicas_gf'!$O$59:$O$60</c:f>
              <c:numCache>
                <c:formatCode>General</c:formatCode>
                <c:ptCount val="2"/>
                <c:pt idx="0">
                  <c:v>-0.77942286340599487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CB0-40CC-9B3D-B3384459F70C}"/>
            </c:ext>
          </c:extLst>
        </c:ser>
        <c:ser>
          <c:idx val="16"/>
          <c:order val="39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CB0-40CC-9B3D-B3384459F70C}"/>
            </c:ext>
          </c:extLst>
        </c:ser>
        <c:ser>
          <c:idx val="1"/>
          <c:order val="40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>
                      <a:shade val="4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CB0-40CC-9B3D-B3384459F70C}"/>
            </c:ext>
          </c:extLst>
        </c:ser>
        <c:ser>
          <c:idx val="41"/>
          <c:order val="4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>
                      <a:tint val="62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dPt>
            <c:idx val="0"/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5B9BD5">
                        <a:tint val="46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3E03-45E4-B6C5-BAE825FA67EB}"/>
              </c:ext>
            </c:extLst>
          </c:dPt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CB0-40CC-9B3D-B3384459F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47648"/>
        <c:axId val="149149184"/>
      </c:scatterChart>
      <c:valAx>
        <c:axId val="149147648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149149184"/>
        <c:crossesAt val="-0.1"/>
        <c:crossBetween val="midCat"/>
      </c:valAx>
      <c:valAx>
        <c:axId val="149149184"/>
        <c:scaling>
          <c:orientation val="minMax"/>
          <c:max val="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149147648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20"/>
          <c:order val="18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'QAPF-Plutonicas_gf'!$C$1:$C$3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E-4886-A4F1-83E5569C634B}"/>
            </c:ext>
          </c:extLst>
        </c:ser>
        <c:ser>
          <c:idx val="21"/>
          <c:order val="19"/>
          <c:spPr>
            <a:ln w="28575">
              <a:noFill/>
            </a:ln>
          </c:spPr>
          <c:marker>
            <c:symbol val="none"/>
          </c:marker>
          <c:xVal>
            <c:strRef>
              <c:f>'QAPF-Plutonicas_gf'!$N$3:$N$24</c:f>
              <c:strCache>
                <c:ptCount val="1"/>
                <c:pt idx="0">
                  <c:v>0.670731707</c:v>
                </c:pt>
              </c:strCache>
            </c:strRef>
          </c:xVal>
          <c:yVal>
            <c:numRef>
              <c:f>'QAPF-Plutonicas_gf'!$O$3:$O$24</c:f>
              <c:numCache>
                <c:formatCode>General</c:formatCode>
                <c:ptCount val="22"/>
                <c:pt idx="0">
                  <c:v>0.422451416480214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E-4886-A4F1-83E5569C634B}"/>
            </c:ext>
          </c:extLst>
        </c:ser>
        <c:ser>
          <c:idx val="22"/>
          <c:order val="2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'QAPF-Plutonicas_gf'!$B$8:$B$9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E-4886-A4F1-83E5569C634B}"/>
            </c:ext>
          </c:extLst>
        </c:ser>
        <c:ser>
          <c:idx val="23"/>
          <c:order val="21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'QAPF-Plutonicas_gf'!$O$25:$O$26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E-4886-A4F1-83E5569C634B}"/>
            </c:ext>
          </c:extLst>
        </c:ser>
        <c:ser>
          <c:idx val="24"/>
          <c:order val="22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E-4886-A4F1-83E5569C634B}"/>
            </c:ext>
          </c:extLst>
        </c:ser>
        <c:ser>
          <c:idx val="25"/>
          <c:order val="23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'QAPF-Plutonicas_gf'!$O$29:$O$30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E-4886-A4F1-83E5569C634B}"/>
            </c:ext>
          </c:extLst>
        </c:ser>
        <c:ser>
          <c:idx val="26"/>
          <c:order val="24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'QAPF-Plutonicas_gf'!$N$31:$N$32</c:f>
              <c:numCache>
                <c:formatCode>General</c:formatCode>
                <c:ptCount val="2"/>
                <c:pt idx="0">
                  <c:v>0.97499999999999998</c:v>
                </c:pt>
                <c:pt idx="1">
                  <c:v>2.5000000000000001E-2</c:v>
                </c:pt>
              </c:numCache>
            </c:numRef>
          </c:xVal>
          <c:yVal>
            <c:numRef>
              <c:f>'QAPF-Plutonicas_gf'!$O$31:$O$32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4E-4886-A4F1-83E5569C634B}"/>
            </c:ext>
          </c:extLst>
        </c:ser>
        <c:ser>
          <c:idx val="27"/>
          <c:order val="25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4E-4886-A4F1-83E5569C634B}"/>
            </c:ext>
          </c:extLst>
        </c:ser>
        <c:ser>
          <c:idx val="28"/>
          <c:order val="26"/>
          <c:tx>
            <c:v>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'QAPF-Plutonicas_gf'!$N$36:$N$37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'QAPF-Plutonicas_gf'!$O$36:$O$37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4E-4886-A4F1-83E5569C634B}"/>
            </c:ext>
          </c:extLst>
        </c:ser>
        <c:ser>
          <c:idx val="29"/>
          <c:order val="27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'QAPF-Plutonicas_gf'!$O$38:$O$39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B4E-4886-A4F1-83E5569C634B}"/>
            </c:ext>
          </c:extLst>
        </c:ser>
        <c:ser>
          <c:idx val="30"/>
          <c:order val="28"/>
          <c:tx>
            <c:v>8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'QAPF-Plutonicas_gf'!$N$41:$N$42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'QAPF-Plutonicas_gf'!$O$41:$O$42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B4E-4886-A4F1-83E5569C634B}"/>
            </c:ext>
          </c:extLst>
        </c:ser>
        <c:ser>
          <c:idx val="31"/>
          <c:order val="2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'QAPF-Plutonicas_gf'!$C$4:$C$5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4E-4886-A4F1-83E5569C634B}"/>
            </c:ext>
          </c:extLst>
        </c:ser>
        <c:ser>
          <c:idx val="32"/>
          <c:order val="3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'QAPF-Plutonicas_gf'!$C$5:$C$6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B4E-4886-A4F1-83E5569C634B}"/>
            </c:ext>
          </c:extLst>
        </c:ser>
        <c:ser>
          <c:idx val="33"/>
          <c:order val="3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B4E-4886-A4F1-83E5569C634B}"/>
            </c:ext>
          </c:extLst>
        </c:ser>
        <c:ser>
          <c:idx val="34"/>
          <c:order val="3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'QAPF-Plutonicas_gf'!$O$45:$O$46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4E-4886-A4F1-83E5569C634B}"/>
            </c:ext>
          </c:extLst>
        </c:ser>
        <c:ser>
          <c:idx val="35"/>
          <c:order val="3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B4E-4886-A4F1-83E5569C634B}"/>
            </c:ext>
          </c:extLst>
        </c:ser>
        <c:ser>
          <c:idx val="36"/>
          <c:order val="34"/>
          <c:tx>
            <c:v>14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B4E-4886-A4F1-83E5569C634B}"/>
            </c:ext>
          </c:extLst>
        </c:ser>
        <c:ser>
          <c:idx val="37"/>
          <c:order val="35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'QAPF-Plutonicas_gf'!$O$51:$O$52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4E-4886-A4F1-83E5569C634B}"/>
            </c:ext>
          </c:extLst>
        </c:ser>
        <c:ser>
          <c:idx val="38"/>
          <c:order val="36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'QAPF-Plutonicas_gf'!$O$53:$O$54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B4E-4886-A4F1-83E5569C634B}"/>
            </c:ext>
          </c:extLst>
        </c:ser>
        <c:ser>
          <c:idx val="39"/>
          <c:order val="37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'QAPF-Plutonicas_gf'!$O$55:$O$56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B4E-4886-A4F1-83E5569C634B}"/>
            </c:ext>
          </c:extLst>
        </c:ser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'QAPF-Plutonicas_gf'!$C$1:$C$3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B4E-4886-A4F1-83E5569C634B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'QAPF-Plutonicas_gf'!$B$8:$B$9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B4E-4886-A4F1-83E5569C634B}"/>
            </c:ext>
          </c:extLst>
        </c:ser>
        <c:ser>
          <c:idx val="2"/>
          <c:order val="2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'QAPF-Plutonicas_gf'!$O$25:$O$26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B4E-4886-A4F1-83E5569C634B}"/>
            </c:ext>
          </c:extLst>
        </c:ser>
        <c:ser>
          <c:idx val="4"/>
          <c:order val="3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B4E-4886-A4F1-83E5569C634B}"/>
            </c:ext>
          </c:extLst>
        </c:ser>
        <c:ser>
          <c:idx val="5"/>
          <c:order val="4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'QAPF-Plutonicas_gf'!$O$29:$O$30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B4E-4886-A4F1-83E5569C634B}"/>
            </c:ext>
          </c:extLst>
        </c:ser>
        <c:ser>
          <c:idx val="6"/>
          <c:order val="5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'QAPF-Plutonicas_gf'!$N$31:$N$32</c:f>
              <c:numCache>
                <c:formatCode>General</c:formatCode>
                <c:ptCount val="2"/>
                <c:pt idx="0">
                  <c:v>0.97499999999999998</c:v>
                </c:pt>
                <c:pt idx="1">
                  <c:v>2.5000000000000001E-2</c:v>
                </c:pt>
              </c:numCache>
            </c:numRef>
          </c:xVal>
          <c:yVal>
            <c:numRef>
              <c:f>'QAPF-Plutonicas_gf'!$O$31:$O$32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B4E-4886-A4F1-83E5569C634B}"/>
            </c:ext>
          </c:extLst>
        </c:ser>
        <c:ser>
          <c:idx val="7"/>
          <c:order val="6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B4E-4886-A4F1-83E5569C634B}"/>
            </c:ext>
          </c:extLst>
        </c:ser>
        <c:ser>
          <c:idx val="8"/>
          <c:order val="7"/>
          <c:tx>
            <c:v>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'QAPF-Plutonicas_gf'!$N$36:$N$37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'QAPF-Plutonicas_gf'!$O$36:$O$37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B4E-4886-A4F1-83E5569C634B}"/>
            </c:ext>
          </c:extLst>
        </c:ser>
        <c:ser>
          <c:idx val="9"/>
          <c:order val="8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'QAPF-Plutonicas_gf'!$O$38:$O$39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B4E-4886-A4F1-83E5569C634B}"/>
            </c:ext>
          </c:extLst>
        </c:ser>
        <c:ser>
          <c:idx val="11"/>
          <c:order val="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'QAPF-Plutonicas_gf'!$C$4:$C$5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B4E-4886-A4F1-83E5569C634B}"/>
            </c:ext>
          </c:extLst>
        </c:ser>
        <c:ser>
          <c:idx val="12"/>
          <c:order val="1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'QAPF-Plutonicas_gf'!$C$5:$C$6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B4E-4886-A4F1-83E5569C634B}"/>
            </c:ext>
          </c:extLst>
        </c:ser>
        <c:ser>
          <c:idx val="13"/>
          <c:order val="1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B4E-4886-A4F1-83E5569C634B}"/>
            </c:ext>
          </c:extLst>
        </c:ser>
        <c:ser>
          <c:idx val="14"/>
          <c:order val="1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'QAPF-Plutonicas_gf'!$O$45:$O$46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B4E-4886-A4F1-83E5569C634B}"/>
            </c:ext>
          </c:extLst>
        </c:ser>
        <c:ser>
          <c:idx val="15"/>
          <c:order val="1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B4E-4886-A4F1-83E5569C634B}"/>
            </c:ext>
          </c:extLst>
        </c:ser>
        <c:ser>
          <c:idx val="16"/>
          <c:order val="14"/>
          <c:tx>
            <c:v>14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B4E-4886-A4F1-83E5569C634B}"/>
            </c:ext>
          </c:extLst>
        </c:ser>
        <c:ser>
          <c:idx val="17"/>
          <c:order val="15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'QAPF-Plutonicas_gf'!$O$51:$O$52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B4E-4886-A4F1-83E5569C634B}"/>
            </c:ext>
          </c:extLst>
        </c:ser>
        <c:ser>
          <c:idx val="18"/>
          <c:order val="16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'QAPF-Plutonicas_gf'!$O$53:$O$54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B4E-4886-A4F1-83E5569C634B}"/>
            </c:ext>
          </c:extLst>
        </c:ser>
        <c:ser>
          <c:idx val="19"/>
          <c:order val="17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'QAPF-Plutonicas_gf'!$O$55:$O$56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B4E-4886-A4F1-83E5569C634B}"/>
            </c:ext>
          </c:extLst>
        </c:ser>
        <c:ser>
          <c:idx val="10"/>
          <c:order val="38"/>
          <c:tx>
            <c:v>18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'QAPF-Plutonicas_gf'!$N$57:$N$58</c:f>
              <c:numCache>
                <c:formatCode>General</c:formatCode>
                <c:ptCount val="2"/>
                <c:pt idx="0">
                  <c:v>0.35</c:v>
                </c:pt>
                <c:pt idx="1">
                  <c:v>0.38</c:v>
                </c:pt>
              </c:numCache>
            </c:numRef>
          </c:xVal>
          <c:yVal>
            <c:numRef>
              <c:f>'QAPF-Plutonicas_gf'!$O$57:$O$58</c:f>
              <c:numCache>
                <c:formatCode>General</c:formatCode>
                <c:ptCount val="2"/>
                <c:pt idx="0">
                  <c:v>0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B4E-4886-A4F1-83E5569C634B}"/>
            </c:ext>
          </c:extLst>
        </c:ser>
        <c:ser>
          <c:idx val="40"/>
          <c:order val="39"/>
          <c:tx>
            <c:v/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>
                      <a:tint val="48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B4E-4886-A4F1-83E5569C634B}"/>
            </c:ext>
          </c:extLst>
        </c:ser>
        <c:ser>
          <c:idx val="41"/>
          <c:order val="40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>
                      <a:tint val="62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B4E-4886-A4F1-83E5569C634B}"/>
            </c:ext>
          </c:extLst>
        </c:ser>
        <c:ser>
          <c:idx val="42"/>
          <c:order val="4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>
                      <a:tint val="4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B4E-4886-A4F1-83E5569C634B}"/>
            </c:ext>
          </c:extLst>
        </c:ser>
        <c:ser>
          <c:idx val="1"/>
          <c:order val="42"/>
          <c:tx>
            <c:v>4323-GG-R-0001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>
                      <a:shade val="4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B-45AE-AD2F-C0199F075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58400"/>
        <c:axId val="96760576"/>
      </c:scatterChart>
      <c:valAx>
        <c:axId val="96758400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760576"/>
        <c:crossesAt val="-0.1"/>
        <c:crossBetween val="midCat"/>
      </c:valAx>
      <c:valAx>
        <c:axId val="96760576"/>
        <c:scaling>
          <c:orientation val="minMax"/>
          <c:max val="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96758400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'maficas-Ol_gf'!$C$1:$C$3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3-4847-97D7-81139AF4B184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'maficas-Ol_gf'!$B$8:$B$9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93-4847-97D7-81139AF4B184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'maficas-Ol_gf'!$O$25:$O$26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93-4847-97D7-81139AF4B184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'maficas-Ol_gf'!$O$27:$O$28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93-4847-97D7-81139AF4B184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'maficas-Ol_gf'!$O$29:$O$30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93-4847-97D7-81139AF4B184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'maficas-Ol_gf'!$O$31:$O$32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93-4847-97D7-81139AF4B184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'maficas-Ol_gf'!$O$33:$O$34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93-4847-97D7-81139AF4B184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9A93-4847-97D7-81139AF4B184}"/>
              </c:ext>
            </c:extLst>
          </c:dPt>
          <c:xVal>
            <c:numRef>
              <c:f>'maficas-Ol_gf'!$N$35:$N$36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'maficas-Ol_gf'!$O$35:$O$36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93-4847-97D7-81139AF4B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44416"/>
        <c:axId val="96846208"/>
      </c:scatterChart>
      <c:valAx>
        <c:axId val="96844416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846208"/>
        <c:crossesAt val="-0.1"/>
        <c:crossBetween val="midCat"/>
      </c:valAx>
      <c:valAx>
        <c:axId val="96846208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6844416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'maficas-Hbl_gf'!$A$1:$A$3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'maficas-Hbl_gf'!$C$1:$C$3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B-48AA-B7C5-354BC7455DDF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'maficas-Hbl_gf'!$A$8:$A$9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'maficas-Hbl_gf'!$B$8:$B$9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B-48AA-B7C5-354BC7455DDF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'maficas-Hbl_gf'!$O$25:$O$26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AB-48AA-B7C5-354BC7455DDF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'maficas-Hbl_gf'!$O$27:$O$28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AB-48AA-B7C5-354BC7455DDF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'maficas-Hbl_gf'!$O$29:$O$30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AB-48AA-B7C5-354BC7455DDF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'maficas-Hbl_gf'!$O$31:$O$32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EAB-48AA-B7C5-354BC7455DDF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'maficas-Hbl_gf'!$O$33:$O$34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EAB-48AA-B7C5-354BC7455DDF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1EAB-48AA-B7C5-354BC7455DDF}"/>
              </c:ext>
            </c:extLst>
          </c:dPt>
          <c:xVal>
            <c:numRef>
              <c:f>'maficas-Hbl_gf'!$N$35:$N$36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'maficas-Hbl_gf'!$O$35:$O$36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EAB-48AA-B7C5-354BC7455DDF}"/>
            </c:ext>
          </c:extLst>
        </c:ser>
        <c:ser>
          <c:idx val="9"/>
          <c:order val="8"/>
          <c:tx>
            <c:v>7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'maficas-Hbl_gf'!$N$37:$N$38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'maficas-Hbl_gf'!$O$37:$O$38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EAB-48AA-B7C5-354BC7455DDF}"/>
            </c:ext>
          </c:extLst>
        </c:ser>
        <c:ser>
          <c:idx val="10"/>
          <c:order val="9"/>
          <c:tx>
            <c:v>8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'maficas-Hbl_gf'!$N$39:$N$40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'maficas-Hbl_gf'!$O$39:$O$40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EAB-48AA-B7C5-354BC7455DDF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'maficas-Hbl_gf'!$N$41:$N$42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'maficas-Hbl_gf'!$O$41:$O$42</c:f>
              <c:numCache>
                <c:formatCode>General</c:formatCode>
                <c:ptCount val="2"/>
                <c:pt idx="0">
                  <c:v>0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EAB-48AA-B7C5-354BC7455DDF}"/>
            </c:ext>
          </c:extLst>
        </c:ser>
        <c:ser>
          <c:idx val="12"/>
          <c:order val="1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>
                      <a:tint val="6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'maficas-Hbl_gf'!$N$3</c:f>
            </c:numRef>
          </c:xVal>
          <c:yVal>
            <c:numRef>
              <c:f>'maficas-Hbl_gf'!$O$3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EAB-48AA-B7C5-354BC7455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99456"/>
        <c:axId val="96901376"/>
      </c:scatterChart>
      <c:valAx>
        <c:axId val="96899456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901376"/>
        <c:crossesAt val="-0.1"/>
        <c:crossBetween val="midCat"/>
      </c:valAx>
      <c:valAx>
        <c:axId val="96901376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6899456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'maficas-OpxCpx_gf'!$A$1:$A$3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'maficas-OpxCpx_gf'!$C$1:$C$3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E-45FA-863E-080628237401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'maficas-OpxCpx_gf'!$A$8:$A$9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'maficas-OpxCpx_gf'!$B$8:$B$9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6E-45FA-863E-080628237401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'maficas-OpxCpx_gf'!$N$25:$N$26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'maficas-OpxCpx_gf'!$O$25:$O$26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6E-45FA-863E-080628237401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'maficas-OpxCpx_gf'!$O$27:$O$28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6E-45FA-863E-080628237401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'maficas-OpxCpx_gf'!$O$29:$O$30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6E-45FA-863E-080628237401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'maficas-OpxCpx_gf'!$O$31:$O$32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6E-45FA-863E-080628237401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'maficas-OpxCpx_gf'!$N$33:$N$34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'maficas-OpxCpx_gf'!$O$33:$O$34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6E-45FA-863E-080628237401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6D6E-45FA-863E-080628237401}"/>
              </c:ext>
            </c:extLst>
          </c:dPt>
          <c:xVal>
            <c:numRef>
              <c:f>'maficas-OpxCpx_gf'!$N$35:$N$36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'maficas-OpxCpx_gf'!$O$35:$O$36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6E-45FA-863E-080628237401}"/>
            </c:ext>
          </c:extLst>
        </c:ser>
        <c:ser>
          <c:idx val="9"/>
          <c:order val="8"/>
          <c:tx>
            <c:v>7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'maficas-OpxCpx_gf'!$N$37:$N$38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'maficas-OpxCpx_gf'!$O$37:$O$38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6E-45FA-863E-080628237401}"/>
            </c:ext>
          </c:extLst>
        </c:ser>
        <c:ser>
          <c:idx val="10"/>
          <c:order val="9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'maficas-OpxCpx_gf'!$N$3</c:f>
            </c:numRef>
          </c:xVal>
          <c:yVal>
            <c:numRef>
              <c:f>'maficas-OpxCpx_gf'!$O$3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6E-45FA-863E-080628237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240"/>
      </c:scatterChart>
      <c:valAx>
        <c:axId val="98024064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8026240"/>
        <c:crossesAt val="-0.1"/>
        <c:crossBetween val="midCat"/>
      </c:valAx>
      <c:valAx>
        <c:axId val="98026240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8024064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'ultramaficas-Cpx_gf'!$C$1:$C$3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1-495E-9391-C943798A556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'ultramaficas-Cpx_gf'!$B$8:$B$9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71-495E-9391-C943798A556C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'ultramaficas-Cpx_gf'!$O$25:$O$26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71-495E-9391-C943798A556C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'ultramaficas-Cpx_gf'!$N$27:$N$28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'ultramaficas-Cpx_gf'!$O$27:$O$28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71-495E-9391-C943798A556C}"/>
            </c:ext>
          </c:extLst>
        </c:ser>
        <c:ser>
          <c:idx val="6"/>
          <c:order val="4"/>
          <c:tx>
            <c:v>4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'ultramaficas-Cpx_gf'!$N$31:$N$32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'ultramaficas-Cpx_gf'!$O$31:$O$32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71-495E-9391-C943798A556C}"/>
            </c:ext>
          </c:extLst>
        </c:ser>
        <c:ser>
          <c:idx val="7"/>
          <c:order val="5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'ultramaficas-Cpx_gf'!$N$33:$N$34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0.5</c:v>
                </c:pt>
              </c:numCache>
            </c:numRef>
          </c:xVal>
          <c:yVal>
            <c:numRef>
              <c:f>'ultramaficas-Cpx_gf'!$O$33:$O$34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71-495E-9391-C943798A556C}"/>
            </c:ext>
          </c:extLst>
        </c:ser>
        <c:ser>
          <c:idx val="8"/>
          <c:order val="6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B71-495E-9391-C943798A556C}"/>
              </c:ext>
            </c:extLst>
          </c:dPt>
          <c:xVal>
            <c:numRef>
              <c:f>'ultramaficas-Cpx_gf'!$N$35:$N$36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'ultramaficas-Cpx_gf'!$O$35:$O$36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71-495E-9391-C943798A556C}"/>
            </c:ext>
          </c:extLst>
        </c:ser>
        <c:ser>
          <c:idx val="5"/>
          <c:order val="7"/>
          <c:tx>
            <c:v>7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'ultramaficas-Cpx_gf'!$N$37:$N$38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'ultramaficas-Cpx_gf'!$O$37:$O$38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71-495E-9391-C943798A556C}"/>
            </c:ext>
          </c:extLst>
        </c:ser>
        <c:ser>
          <c:idx val="9"/>
          <c:order val="8"/>
          <c:tx>
            <c:v>3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'ultramaficas-Cpx_gf'!$N$29:$N$30</c:f>
              <c:numCache>
                <c:formatCode>General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xVal>
          <c:yVal>
            <c:numRef>
              <c:f>'ultramaficas-Cpx_gf'!$O$29:$O$30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B71-495E-9391-C943798A556C}"/>
            </c:ext>
          </c:extLst>
        </c:ser>
        <c:ser>
          <c:idx val="10"/>
          <c:order val="9"/>
          <c:tx>
            <c:v>8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'ultramaficas-Cpx_gf'!$N$39:$N$40</c:f>
              <c:numCache>
                <c:formatCode>General</c:formatCode>
                <c:ptCount val="2"/>
                <c:pt idx="0">
                  <c:v>0.8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'ultramaficas-Cpx_gf'!$O$39:$O$40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B71-495E-9391-C943798A556C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'ultramaficas-Cpx_gf'!$O$41:$O$42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B71-495E-9391-C943798A556C}"/>
            </c:ext>
          </c:extLst>
        </c:ser>
        <c:ser>
          <c:idx val="12"/>
          <c:order val="11"/>
          <c:tx>
            <c:v>10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'ultramaficas-Cpx_gf'!$N$43:$N$44</c:f>
              <c:numCache>
                <c:formatCode>General</c:formatCode>
                <c:ptCount val="2"/>
                <c:pt idx="0">
                  <c:v>1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'ultramaficas-Cpx_gf'!$O$43:$O$44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B71-495E-9391-C943798A5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25120"/>
        <c:axId val="99126656"/>
      </c:scatterChart>
      <c:valAx>
        <c:axId val="99125120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9126656"/>
        <c:crossesAt val="-0.1"/>
        <c:crossBetween val="midCat"/>
      </c:valAx>
      <c:valAx>
        <c:axId val="99126656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9125120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'ultramaficas-Hbl_gf'!$C$1:$C$3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E-40EE-99BE-BB43A9BC48A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'ultramaficas-Hbl_gf'!$B$8:$B$9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9E-40EE-99BE-BB43A9BC48AC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'ultramaficas-Hbl_gf'!$O$25:$O$26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9E-40EE-99BE-BB43A9BC48AC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'ultramaficas-Hbl_gf'!$N$27:$N$28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'ultramaficas-Hbl_gf'!$O$27:$O$28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9E-40EE-99BE-BB43A9BC48AC}"/>
            </c:ext>
          </c:extLst>
        </c:ser>
        <c:ser>
          <c:idx val="6"/>
          <c:order val="4"/>
          <c:tx>
            <c:v>4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'ultramaficas-Hbl_gf'!$N$31:$N$32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'ultramaficas-Hbl_gf'!$O$31:$O$32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9E-40EE-99BE-BB43A9BC48AC}"/>
            </c:ext>
          </c:extLst>
        </c:ser>
        <c:ser>
          <c:idx val="7"/>
          <c:order val="5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'ultramaficas-Hbl_gf'!$N$33:$N$34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0.5</c:v>
                </c:pt>
              </c:numCache>
            </c:numRef>
          </c:xVal>
          <c:yVal>
            <c:numRef>
              <c:f>'ultramaficas-Hbl_gf'!$O$33:$O$34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9E-40EE-99BE-BB43A9BC48AC}"/>
            </c:ext>
          </c:extLst>
        </c:ser>
        <c:ser>
          <c:idx val="8"/>
          <c:order val="6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59E-40EE-99BE-BB43A9BC48AC}"/>
              </c:ext>
            </c:extLst>
          </c:dPt>
          <c:xVal>
            <c:numRef>
              <c:f>'ultramaficas-Hbl_gf'!$N$35:$N$36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'ultramaficas-Hbl_gf'!$O$35:$O$36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9E-40EE-99BE-BB43A9BC48AC}"/>
            </c:ext>
          </c:extLst>
        </c:ser>
        <c:ser>
          <c:idx val="5"/>
          <c:order val="7"/>
          <c:tx>
            <c:v>7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'ultramaficas-Hbl_gf'!$N$37:$N$38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'ultramaficas-Hbl_gf'!$O$37:$O$38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9E-40EE-99BE-BB43A9BC48AC}"/>
            </c:ext>
          </c:extLst>
        </c:ser>
        <c:ser>
          <c:idx val="9"/>
          <c:order val="8"/>
          <c:tx>
            <c:v>3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'ultramaficas-Hbl_gf'!$N$29:$N$30</c:f>
              <c:numCache>
                <c:formatCode>General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xVal>
          <c:yVal>
            <c:numRef>
              <c:f>'ultramaficas-Hbl_gf'!$O$29:$O$30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9E-40EE-99BE-BB43A9BC48AC}"/>
            </c:ext>
          </c:extLst>
        </c:ser>
        <c:ser>
          <c:idx val="10"/>
          <c:order val="9"/>
          <c:tx>
            <c:v>8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'ultramaficas-Hbl_gf'!$N$39:$N$40</c:f>
              <c:numCache>
                <c:formatCode>General</c:formatCode>
                <c:ptCount val="2"/>
                <c:pt idx="0">
                  <c:v>0.8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'ultramaficas-Hbl_gf'!$O$39:$O$40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9E-40EE-99BE-BB43A9BC48AC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'ultramaficas-Hbl_gf'!$O$41:$O$42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9E-40EE-99BE-BB43A9BC48AC}"/>
            </c:ext>
          </c:extLst>
        </c:ser>
        <c:ser>
          <c:idx val="12"/>
          <c:order val="11"/>
          <c:tx>
            <c:v>10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'ultramaficas-Hbl_gf'!$N$43:$N$44</c:f>
              <c:numCache>
                <c:formatCode>General</c:formatCode>
                <c:ptCount val="2"/>
                <c:pt idx="0">
                  <c:v>1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'ultramaficas-Hbl_gf'!$O$43:$O$44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59E-40EE-99BE-BB43A9BC48AC}"/>
            </c:ext>
          </c:extLst>
        </c:ser>
        <c:ser>
          <c:idx val="13"/>
          <c:order val="12"/>
          <c:tx>
            <c:v>11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'ultramaficas-Hbl_gf'!$N$45:$N$46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'ultramaficas-Hbl_gf'!$O$45:$O$46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9E-40EE-99BE-BB43A9BC4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97632"/>
        <c:axId val="99399168"/>
      </c:scatterChart>
      <c:valAx>
        <c:axId val="99397632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9399168"/>
        <c:crossesAt val="-0.1"/>
        <c:crossBetween val="midCat"/>
      </c:valAx>
      <c:valAx>
        <c:axId val="99399168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9397632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58144</xdr:colOff>
      <xdr:row>0</xdr:row>
      <xdr:rowOff>47626</xdr:rowOff>
    </xdr:from>
    <xdr:to>
      <xdr:col>6</xdr:col>
      <xdr:colOff>5300</xdr:colOff>
      <xdr:row>4</xdr:row>
      <xdr:rowOff>172010</xdr:rowOff>
    </xdr:to>
    <xdr:pic>
      <xdr:nvPicPr>
        <xdr:cNvPr id="89" name="Imagem 88" descr="http://intra.cprm.gov.br/publique/media/marketing/logomarcacprmvertical.jpg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2919" y="47626"/>
          <a:ext cx="1433056" cy="943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066" name="Fotos_40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1067" name="Fotos_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1068" name="Fotos_4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1069" name="Fotos_4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1070" name="Fotos_49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7</xdr:col>
          <xdr:colOff>0</xdr:colOff>
          <xdr:row>51</xdr:row>
          <xdr:rowOff>0</xdr:rowOff>
        </xdr:to>
        <xdr:sp macro="" textlink="">
          <xdr:nvSpPr>
            <xdr:cNvPr id="1071" name="Fotos_5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7</xdr:col>
          <xdr:colOff>0</xdr:colOff>
          <xdr:row>53</xdr:row>
          <xdr:rowOff>0</xdr:rowOff>
        </xdr:to>
        <xdr:sp macro="" textlink="">
          <xdr:nvSpPr>
            <xdr:cNvPr id="1072" name="Fotos_5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7</xdr:col>
          <xdr:colOff>0</xdr:colOff>
          <xdr:row>55</xdr:row>
          <xdr:rowOff>0</xdr:rowOff>
        </xdr:to>
        <xdr:sp macro="" textlink="">
          <xdr:nvSpPr>
            <xdr:cNvPr id="1073" name="Fotos_5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7</xdr:col>
          <xdr:colOff>0</xdr:colOff>
          <xdr:row>57</xdr:row>
          <xdr:rowOff>0</xdr:rowOff>
        </xdr:to>
        <xdr:sp macro="" textlink="">
          <xdr:nvSpPr>
            <xdr:cNvPr id="1074" name="Fotos_57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10</xdr:row>
          <xdr:rowOff>175260</xdr:rowOff>
        </xdr:from>
        <xdr:to>
          <xdr:col>6</xdr:col>
          <xdr:colOff>883920</xdr:colOff>
          <xdr:row>21</xdr:row>
          <xdr:rowOff>38100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Gráfico de Classificação Petrográfica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21</xdr:row>
          <xdr:rowOff>106680</xdr:rowOff>
        </xdr:from>
        <xdr:to>
          <xdr:col>6</xdr:col>
          <xdr:colOff>876300</xdr:colOff>
          <xdr:row>23</xdr:row>
          <xdr:rowOff>99060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19050</xdr:colOff>
      <xdr:row>0</xdr:row>
      <xdr:rowOff>38100</xdr:rowOff>
    </xdr:from>
    <xdr:to>
      <xdr:col>34</xdr:col>
      <xdr:colOff>35454</xdr:colOff>
      <xdr:row>61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0.47329</cdr:x>
      <cdr:y>0.05058</cdr:y>
    </cdr:from>
    <cdr:to>
      <cdr:x>0.50318</cdr:x>
      <cdr:y>0.08203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7171" y="413885"/>
          <a:ext cx="191810" cy="25732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Q</a:t>
          </a:r>
        </a:p>
      </cdr:txBody>
    </cdr:sp>
  </cdr:relSizeAnchor>
  <cdr:relSizeAnchor xmlns:cdr="http://schemas.openxmlformats.org/drawingml/2006/chartDrawing">
    <cdr:from>
      <cdr:x>0.1283</cdr:x>
      <cdr:y>0.45454</cdr:y>
    </cdr:from>
    <cdr:to>
      <cdr:x>0.15585</cdr:x>
      <cdr:y>0.50611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3346" y="3719067"/>
          <a:ext cx="176794" cy="42194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A</a:t>
          </a:r>
        </a:p>
      </cdr:txBody>
    </cdr:sp>
  </cdr:relSizeAnchor>
  <cdr:relSizeAnchor xmlns:cdr="http://schemas.openxmlformats.org/drawingml/2006/chartDrawing">
    <cdr:from>
      <cdr:x>0.82459</cdr:x>
      <cdr:y>0.4568</cdr:y>
    </cdr:from>
    <cdr:to>
      <cdr:x>0.85067</cdr:x>
      <cdr:y>0.50837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91562" y="3737491"/>
          <a:ext cx="167361" cy="42194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</a:t>
          </a:r>
        </a:p>
      </cdr:txBody>
    </cdr:sp>
  </cdr:relSizeAnchor>
  <cdr:relSizeAnchor xmlns:cdr="http://schemas.openxmlformats.org/drawingml/2006/chartDrawing">
    <cdr:from>
      <cdr:x>0.47547</cdr:x>
      <cdr:y>0.88705</cdr:y>
    </cdr:from>
    <cdr:to>
      <cdr:x>0.50536</cdr:x>
      <cdr:y>0.92019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51188" y="7257815"/>
          <a:ext cx="191810" cy="271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F</a:t>
          </a:r>
        </a:p>
      </cdr:txBody>
    </cdr:sp>
  </cdr:relSizeAnchor>
  <cdr:relSizeAnchor xmlns:cdr="http://schemas.openxmlformats.org/drawingml/2006/chartDrawing">
    <cdr:from>
      <cdr:x>0.29884</cdr:x>
      <cdr:y>0.32456</cdr:y>
    </cdr:from>
    <cdr:to>
      <cdr:x>0.31858</cdr:x>
      <cdr:y>0.35049</cdr:y>
    </cdr:to>
    <cdr:sp macro="" textlink="">
      <cdr:nvSpPr>
        <cdr:cNvPr id="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7700" y="26555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</a:t>
          </a:r>
        </a:p>
      </cdr:txBody>
    </cdr:sp>
  </cdr:relSizeAnchor>
  <cdr:relSizeAnchor xmlns:cdr="http://schemas.openxmlformats.org/drawingml/2006/chartDrawing">
    <cdr:from>
      <cdr:x>0.41906</cdr:x>
      <cdr:y>0.3234</cdr:y>
    </cdr:from>
    <cdr:to>
      <cdr:x>0.43881</cdr:x>
      <cdr:y>0.34932</cdr:y>
    </cdr:to>
    <cdr:sp macro="" textlink="">
      <cdr:nvSpPr>
        <cdr:cNvPr id="1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89225" y="2646054"/>
          <a:ext cx="126702" cy="21210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</a:t>
          </a:r>
        </a:p>
      </cdr:txBody>
    </cdr:sp>
  </cdr:relSizeAnchor>
  <cdr:relSizeAnchor xmlns:cdr="http://schemas.openxmlformats.org/drawingml/2006/chartDrawing">
    <cdr:from>
      <cdr:x>0.63726</cdr:x>
      <cdr:y>0.32456</cdr:y>
    </cdr:from>
    <cdr:to>
      <cdr:x>0.657</cdr:x>
      <cdr:y>0.35049</cdr:y>
    </cdr:to>
    <cdr:sp macro="" textlink="">
      <cdr:nvSpPr>
        <cdr:cNvPr id="1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89400" y="2655579"/>
          <a:ext cx="126702" cy="21210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3</a:t>
          </a:r>
        </a:p>
      </cdr:txBody>
    </cdr:sp>
  </cdr:relSizeAnchor>
  <cdr:relSizeAnchor xmlns:cdr="http://schemas.openxmlformats.org/drawingml/2006/chartDrawing">
    <cdr:from>
      <cdr:x>0.22165</cdr:x>
      <cdr:y>0.42934</cdr:y>
    </cdr:from>
    <cdr:to>
      <cdr:x>0.2414</cdr:x>
      <cdr:y>0.45526</cdr:y>
    </cdr:to>
    <cdr:sp macro="" textlink="">
      <cdr:nvSpPr>
        <cdr:cNvPr id="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22400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4</a:t>
          </a:r>
        </a:p>
      </cdr:txBody>
    </cdr:sp>
  </cdr:relSizeAnchor>
  <cdr:relSizeAnchor xmlns:cdr="http://schemas.openxmlformats.org/drawingml/2006/chartDrawing">
    <cdr:from>
      <cdr:x>0.32555</cdr:x>
      <cdr:y>0.42934</cdr:y>
    </cdr:from>
    <cdr:to>
      <cdr:x>0.3453</cdr:x>
      <cdr:y>0.45526</cdr:y>
    </cdr:to>
    <cdr:sp macro="" textlink="">
      <cdr:nvSpPr>
        <cdr:cNvPr id="1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9150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5</a:t>
          </a:r>
        </a:p>
      </cdr:txBody>
    </cdr:sp>
  </cdr:relSizeAnchor>
  <cdr:relSizeAnchor xmlns:cdr="http://schemas.openxmlformats.org/drawingml/2006/chartDrawing">
    <cdr:from>
      <cdr:x>0.47871</cdr:x>
      <cdr:y>0.42934</cdr:y>
    </cdr:from>
    <cdr:to>
      <cdr:x>0.49846</cdr:x>
      <cdr:y>0.45526</cdr:y>
    </cdr:to>
    <cdr:sp macro="" textlink="">
      <cdr:nvSpPr>
        <cdr:cNvPr id="1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1994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6</a:t>
          </a:r>
        </a:p>
      </cdr:txBody>
    </cdr:sp>
  </cdr:relSizeAnchor>
  <cdr:relSizeAnchor xmlns:cdr="http://schemas.openxmlformats.org/drawingml/2006/chartDrawing">
    <cdr:from>
      <cdr:x>0.66881</cdr:x>
      <cdr:y>0.46193</cdr:y>
    </cdr:from>
    <cdr:to>
      <cdr:x>0.69966</cdr:x>
      <cdr:y>0.48786</cdr:y>
    </cdr:to>
    <cdr:sp macro="" textlink="">
      <cdr:nvSpPr>
        <cdr:cNvPr id="1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91874" y="37795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10</a:t>
          </a:r>
        </a:p>
      </cdr:txBody>
    </cdr:sp>
  </cdr:relSizeAnchor>
  <cdr:relSizeAnchor xmlns:cdr="http://schemas.openxmlformats.org/drawingml/2006/chartDrawing">
    <cdr:from>
      <cdr:x>0.19048</cdr:x>
      <cdr:y>0.46892</cdr:y>
    </cdr:from>
    <cdr:to>
      <cdr:x>0.21023</cdr:x>
      <cdr:y>0.49484</cdr:y>
    </cdr:to>
    <cdr:sp macro="" textlink="">
      <cdr:nvSpPr>
        <cdr:cNvPr id="1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22375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7</a:t>
          </a:r>
        </a:p>
      </cdr:txBody>
    </cdr:sp>
  </cdr:relSizeAnchor>
  <cdr:relSizeAnchor xmlns:cdr="http://schemas.openxmlformats.org/drawingml/2006/chartDrawing">
    <cdr:from>
      <cdr:x>0.30923</cdr:x>
      <cdr:y>0.46892</cdr:y>
    </cdr:from>
    <cdr:to>
      <cdr:x>0.32897</cdr:x>
      <cdr:y>0.49484</cdr:y>
    </cdr:to>
    <cdr:sp macro="" textlink="">
      <cdr:nvSpPr>
        <cdr:cNvPr id="2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84375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8</a:t>
          </a:r>
        </a:p>
      </cdr:txBody>
    </cdr:sp>
  </cdr:relSizeAnchor>
  <cdr:relSizeAnchor xmlns:cdr="http://schemas.openxmlformats.org/drawingml/2006/chartDrawing">
    <cdr:from>
      <cdr:x>0.47871</cdr:x>
      <cdr:y>0.46892</cdr:y>
    </cdr:from>
    <cdr:to>
      <cdr:x>0.49846</cdr:x>
      <cdr:y>0.49484</cdr:y>
    </cdr:to>
    <cdr:sp macro="" textlink="">
      <cdr:nvSpPr>
        <cdr:cNvPr id="2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1994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9</a:t>
          </a:r>
        </a:p>
      </cdr:txBody>
    </cdr:sp>
  </cdr:relSizeAnchor>
  <cdr:relSizeAnchor xmlns:cdr="http://schemas.openxmlformats.org/drawingml/2006/chartDrawing">
    <cdr:from>
      <cdr:x>0.19383</cdr:x>
      <cdr:y>0.49919</cdr:y>
    </cdr:from>
    <cdr:to>
      <cdr:x>0.22469</cdr:x>
      <cdr:y>0.52511</cdr:y>
    </cdr:to>
    <cdr:sp macro="" textlink="">
      <cdr:nvSpPr>
        <cdr:cNvPr id="2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43874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11</a:t>
          </a:r>
        </a:p>
      </cdr:txBody>
    </cdr:sp>
  </cdr:relSizeAnchor>
  <cdr:relSizeAnchor xmlns:cdr="http://schemas.openxmlformats.org/drawingml/2006/chartDrawing">
    <cdr:from>
      <cdr:x>0.30219</cdr:x>
      <cdr:y>0.49919</cdr:y>
    </cdr:from>
    <cdr:to>
      <cdr:x>0.33304</cdr:x>
      <cdr:y>0.52511</cdr:y>
    </cdr:to>
    <cdr:sp macro="" textlink="">
      <cdr:nvSpPr>
        <cdr:cNvPr id="2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9199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12</a:t>
          </a:r>
        </a:p>
      </cdr:txBody>
    </cdr:sp>
  </cdr:relSizeAnchor>
  <cdr:relSizeAnchor xmlns:cdr="http://schemas.openxmlformats.org/drawingml/2006/chartDrawing">
    <cdr:from>
      <cdr:x>0.47316</cdr:x>
      <cdr:y>0.49919</cdr:y>
    </cdr:from>
    <cdr:to>
      <cdr:x>0.50401</cdr:x>
      <cdr:y>0.52511</cdr:y>
    </cdr:to>
    <cdr:sp macro="" textlink="">
      <cdr:nvSpPr>
        <cdr:cNvPr id="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6343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13</a:t>
          </a:r>
        </a:p>
      </cdr:txBody>
    </cdr:sp>
  </cdr:relSizeAnchor>
  <cdr:relSizeAnchor xmlns:cdr="http://schemas.openxmlformats.org/drawingml/2006/chartDrawing">
    <cdr:from>
      <cdr:x>0.37343</cdr:x>
      <cdr:y>0.60512</cdr:y>
    </cdr:from>
    <cdr:to>
      <cdr:x>0.40429</cdr:x>
      <cdr:y>0.63105</cdr:y>
    </cdr:to>
    <cdr:sp macro="" textlink="">
      <cdr:nvSpPr>
        <cdr:cNvPr id="2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6399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15</a:t>
          </a:r>
        </a:p>
      </cdr:txBody>
    </cdr:sp>
  </cdr:relSizeAnchor>
  <cdr:relSizeAnchor xmlns:cdr="http://schemas.openxmlformats.org/drawingml/2006/chartDrawing">
    <cdr:from>
      <cdr:x>0.55452</cdr:x>
      <cdr:y>0.60512</cdr:y>
    </cdr:from>
    <cdr:to>
      <cdr:x>0.58537</cdr:x>
      <cdr:y>0.63105</cdr:y>
    </cdr:to>
    <cdr:sp macro="" textlink="">
      <cdr:nvSpPr>
        <cdr:cNvPr id="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58449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16</a:t>
          </a:r>
        </a:p>
      </cdr:txBody>
    </cdr:sp>
  </cdr:relSizeAnchor>
  <cdr:relSizeAnchor xmlns:cdr="http://schemas.openxmlformats.org/drawingml/2006/chartDrawing">
    <cdr:from>
      <cdr:x>0.67474</cdr:x>
      <cdr:y>0.60512</cdr:y>
    </cdr:from>
    <cdr:to>
      <cdr:x>0.7056</cdr:x>
      <cdr:y>0.63105</cdr:y>
    </cdr:to>
    <cdr:sp macro="" textlink="">
      <cdr:nvSpPr>
        <cdr:cNvPr id="3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29974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17</a:t>
          </a:r>
        </a:p>
      </cdr:txBody>
    </cdr:sp>
  </cdr:relSizeAnchor>
  <cdr:relSizeAnchor xmlns:cdr="http://schemas.openxmlformats.org/drawingml/2006/chartDrawing">
    <cdr:from>
      <cdr:x>0.43577</cdr:x>
      <cdr:y>0.78153</cdr:y>
    </cdr:from>
    <cdr:to>
      <cdr:x>0.46663</cdr:x>
      <cdr:y>0.80745</cdr:y>
    </cdr:to>
    <cdr:sp macro="" textlink="">
      <cdr:nvSpPr>
        <cdr:cNvPr id="3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96449" y="63944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18</a:t>
          </a:r>
        </a:p>
      </cdr:txBody>
    </cdr:sp>
  </cdr:relSizeAnchor>
  <cdr:relSizeAnchor xmlns:cdr="http://schemas.openxmlformats.org/drawingml/2006/chartDrawing">
    <cdr:from>
      <cdr:x>0</cdr:x>
      <cdr:y>0.63539</cdr:y>
    </cdr:from>
    <cdr:to>
      <cdr:x>0.36543</cdr:x>
      <cdr:y>1</cdr:y>
    </cdr:to>
    <cdr:sp macro="" textlink="">
      <cdr:nvSpPr>
        <cdr:cNvPr id="3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5265054"/>
          <a:ext cx="2345066" cy="29832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1 - alkali feldspar rhyolite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2 - rhyolite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3 - dacite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4 - quartz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5 - quartz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6 - quartz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7 -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8 -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9 -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sng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10 - andesite/basalt                                        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11 - foid-bearing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12 - foid-bearing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13 - foid-bearing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14 - phonolite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15 - tephritic phonolite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16 - phonolitic basanite (Ol &gt;10%)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     phonolitic tephrite (Ol&lt;10%)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17 - basanite (Ol &gt; 10%) 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      tephrite (Ol &lt; 10%)                     </a:t>
          </a:r>
        </a:p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18 - phonolitic foidite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19 - tephritic foidite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20 - foidite</a:t>
          </a:r>
        </a:p>
      </cdr:txBody>
    </cdr:sp>
  </cdr:relSizeAnchor>
  <cdr:relSizeAnchor xmlns:cdr="http://schemas.openxmlformats.org/drawingml/2006/chartDrawing">
    <cdr:from>
      <cdr:x>0.28103</cdr:x>
      <cdr:y>0.60512</cdr:y>
    </cdr:from>
    <cdr:to>
      <cdr:x>0.31188</cdr:x>
      <cdr:y>0.63105</cdr:y>
    </cdr:to>
    <cdr:sp macro="" textlink="">
      <cdr:nvSpPr>
        <cdr:cNvPr id="3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03400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14</a:t>
          </a:r>
        </a:p>
      </cdr:txBody>
    </cdr:sp>
  </cdr:relSizeAnchor>
  <cdr:relSizeAnchor xmlns:cdr="http://schemas.openxmlformats.org/drawingml/2006/chartDrawing">
    <cdr:from>
      <cdr:x>0.51109</cdr:x>
      <cdr:y>0.78153</cdr:y>
    </cdr:from>
    <cdr:to>
      <cdr:x>0.54195</cdr:x>
      <cdr:y>0.80745</cdr:y>
    </cdr:to>
    <cdr:sp macro="" textlink="">
      <cdr:nvSpPr>
        <cdr:cNvPr id="3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79775" y="63944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19</a:t>
          </a:r>
        </a:p>
      </cdr:txBody>
    </cdr:sp>
  </cdr:relSizeAnchor>
  <cdr:relSizeAnchor xmlns:cdr="http://schemas.openxmlformats.org/drawingml/2006/chartDrawing">
    <cdr:from>
      <cdr:x>0.47316</cdr:x>
      <cdr:y>0.85138</cdr:y>
    </cdr:from>
    <cdr:to>
      <cdr:x>0.50401</cdr:x>
      <cdr:y>0.8773</cdr:y>
    </cdr:to>
    <cdr:sp macro="" textlink="">
      <cdr:nvSpPr>
        <cdr:cNvPr id="3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6343" y="69659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20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257175</xdr:colOff>
      <xdr:row>0</xdr:row>
      <xdr:rowOff>0</xdr:rowOff>
    </xdr:from>
    <xdr:to>
      <xdr:col>32</xdr:col>
      <xdr:colOff>273579</xdr:colOff>
      <xdr:row>61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0.47329</cdr:x>
      <cdr:y>0.05058</cdr:y>
    </cdr:from>
    <cdr:to>
      <cdr:x>0.50318</cdr:x>
      <cdr:y>0.08203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7171" y="413885"/>
          <a:ext cx="191810" cy="25732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Q</a:t>
          </a:r>
        </a:p>
      </cdr:txBody>
    </cdr:sp>
  </cdr:relSizeAnchor>
  <cdr:relSizeAnchor xmlns:cdr="http://schemas.openxmlformats.org/drawingml/2006/chartDrawing">
    <cdr:from>
      <cdr:x>0.1283</cdr:x>
      <cdr:y>0.45454</cdr:y>
    </cdr:from>
    <cdr:to>
      <cdr:x>0.15585</cdr:x>
      <cdr:y>0.50611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3346" y="3719067"/>
          <a:ext cx="176794" cy="42194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A</a:t>
          </a:r>
        </a:p>
      </cdr:txBody>
    </cdr:sp>
  </cdr:relSizeAnchor>
  <cdr:relSizeAnchor xmlns:cdr="http://schemas.openxmlformats.org/drawingml/2006/chartDrawing">
    <cdr:from>
      <cdr:x>0.82459</cdr:x>
      <cdr:y>0.4568</cdr:y>
    </cdr:from>
    <cdr:to>
      <cdr:x>0.85067</cdr:x>
      <cdr:y>0.50837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91562" y="3737491"/>
          <a:ext cx="167361" cy="42194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</a:t>
          </a:r>
        </a:p>
      </cdr:txBody>
    </cdr:sp>
  </cdr:relSizeAnchor>
  <cdr:relSizeAnchor xmlns:cdr="http://schemas.openxmlformats.org/drawingml/2006/chartDrawing">
    <cdr:from>
      <cdr:x>0.47547</cdr:x>
      <cdr:y>0.89287</cdr:y>
    </cdr:from>
    <cdr:to>
      <cdr:x>0.50536</cdr:x>
      <cdr:y>0.92601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51175" y="7305475"/>
          <a:ext cx="191810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F</a:t>
          </a:r>
        </a:p>
      </cdr:txBody>
    </cdr:sp>
  </cdr:relSizeAnchor>
  <cdr:relSizeAnchor xmlns:cdr="http://schemas.openxmlformats.org/drawingml/2006/chartDrawing">
    <cdr:from>
      <cdr:x>0.47992</cdr:x>
      <cdr:y>0.10169</cdr:y>
    </cdr:from>
    <cdr:to>
      <cdr:x>0.49966</cdr:x>
      <cdr:y>0.12761</cdr:y>
    </cdr:to>
    <cdr:sp macro="" textlink="">
      <cdr:nvSpPr>
        <cdr:cNvPr id="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1" y="831992"/>
          <a:ext cx="126701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</a:t>
          </a:r>
        </a:p>
      </cdr:txBody>
    </cdr:sp>
  </cdr:relSizeAnchor>
  <cdr:relSizeAnchor xmlns:cdr="http://schemas.openxmlformats.org/drawingml/2006/chartDrawing">
    <cdr:from>
      <cdr:x>0.47992</cdr:x>
      <cdr:y>0.17967</cdr:y>
    </cdr:from>
    <cdr:to>
      <cdr:x>0.49966</cdr:x>
      <cdr:y>0.20559</cdr:y>
    </cdr:to>
    <cdr:sp macro="" textlink="">
      <cdr:nvSpPr>
        <cdr:cNvPr id="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0" y="14700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</a:t>
          </a:r>
        </a:p>
      </cdr:txBody>
    </cdr:sp>
  </cdr:relSizeAnchor>
  <cdr:relSizeAnchor xmlns:cdr="http://schemas.openxmlformats.org/drawingml/2006/chartDrawing">
    <cdr:from>
      <cdr:x>0.29884</cdr:x>
      <cdr:y>0.32169</cdr:y>
    </cdr:from>
    <cdr:to>
      <cdr:x>0.31858</cdr:x>
      <cdr:y>0.34762</cdr:y>
    </cdr:to>
    <cdr:sp macro="" textlink="">
      <cdr:nvSpPr>
        <cdr:cNvPr id="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770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3</a:t>
          </a:r>
        </a:p>
      </cdr:txBody>
    </cdr:sp>
  </cdr:relSizeAnchor>
  <cdr:relSizeAnchor xmlns:cdr="http://schemas.openxmlformats.org/drawingml/2006/chartDrawing">
    <cdr:from>
      <cdr:x>0.3686</cdr:x>
      <cdr:y>0.32169</cdr:y>
    </cdr:from>
    <cdr:to>
      <cdr:x>0.38834</cdr:x>
      <cdr:y>0.34762</cdr:y>
    </cdr:to>
    <cdr:sp macro="" textlink="">
      <cdr:nvSpPr>
        <cdr:cNvPr id="1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65375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4</a:t>
          </a:r>
        </a:p>
      </cdr:txBody>
    </cdr:sp>
  </cdr:relSizeAnchor>
  <cdr:relSizeAnchor xmlns:cdr="http://schemas.openxmlformats.org/drawingml/2006/chartDrawing">
    <cdr:from>
      <cdr:x>0.47992</cdr:x>
      <cdr:y>0.32169</cdr:y>
    </cdr:from>
    <cdr:to>
      <cdr:x>0.49966</cdr:x>
      <cdr:y>0.34762</cdr:y>
    </cdr:to>
    <cdr:sp macro="" textlink="">
      <cdr:nvSpPr>
        <cdr:cNvPr id="1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5</a:t>
          </a:r>
        </a:p>
      </cdr:txBody>
    </cdr:sp>
  </cdr:relSizeAnchor>
  <cdr:relSizeAnchor xmlns:cdr="http://schemas.openxmlformats.org/drawingml/2006/chartDrawing">
    <cdr:from>
      <cdr:x>0.59273</cdr:x>
      <cdr:y>0.32169</cdr:y>
    </cdr:from>
    <cdr:to>
      <cdr:x>0.61247</cdr:x>
      <cdr:y>0.34762</cdr:y>
    </cdr:to>
    <cdr:sp macro="" textlink="">
      <cdr:nvSpPr>
        <cdr:cNvPr id="1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0365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6</a:t>
          </a:r>
        </a:p>
      </cdr:txBody>
    </cdr:sp>
  </cdr:relSizeAnchor>
  <cdr:relSizeAnchor xmlns:cdr="http://schemas.openxmlformats.org/drawingml/2006/chartDrawing">
    <cdr:from>
      <cdr:x>0.65507</cdr:x>
      <cdr:y>0.32169</cdr:y>
    </cdr:from>
    <cdr:to>
      <cdr:x>0.67481</cdr:x>
      <cdr:y>0.34762</cdr:y>
    </cdr:to>
    <cdr:sp macro="" textlink="">
      <cdr:nvSpPr>
        <cdr:cNvPr id="1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0370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7</a:t>
          </a:r>
        </a:p>
      </cdr:txBody>
    </cdr:sp>
  </cdr:relSizeAnchor>
  <cdr:relSizeAnchor xmlns:cdr="http://schemas.openxmlformats.org/drawingml/2006/chartDrawing">
    <cdr:from>
      <cdr:x>0.22165</cdr:x>
      <cdr:y>0.42646</cdr:y>
    </cdr:from>
    <cdr:to>
      <cdr:x>0.2414</cdr:x>
      <cdr:y>0.45239</cdr:y>
    </cdr:to>
    <cdr:sp macro="" textlink="">
      <cdr:nvSpPr>
        <cdr:cNvPr id="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22400" y="34893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8</a:t>
          </a:r>
        </a:p>
      </cdr:txBody>
    </cdr:sp>
  </cdr:relSizeAnchor>
  <cdr:relSizeAnchor xmlns:cdr="http://schemas.openxmlformats.org/drawingml/2006/chartDrawing">
    <cdr:from>
      <cdr:x>0.32555</cdr:x>
      <cdr:y>0.42646</cdr:y>
    </cdr:from>
    <cdr:to>
      <cdr:x>0.3453</cdr:x>
      <cdr:y>0.45239</cdr:y>
    </cdr:to>
    <cdr:sp macro="" textlink="">
      <cdr:nvSpPr>
        <cdr:cNvPr id="1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9150" y="34893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9</a:t>
          </a:r>
        </a:p>
      </cdr:txBody>
    </cdr:sp>
  </cdr:relSizeAnchor>
  <cdr:relSizeAnchor xmlns:cdr="http://schemas.openxmlformats.org/drawingml/2006/chartDrawing">
    <cdr:from>
      <cdr:x>0.47437</cdr:x>
      <cdr:y>0.42646</cdr:y>
    </cdr:from>
    <cdr:to>
      <cdr:x>0.50522</cdr:x>
      <cdr:y>0.45239</cdr:y>
    </cdr:to>
    <cdr:sp macro="" textlink="">
      <cdr:nvSpPr>
        <cdr:cNvPr id="1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10</a:t>
          </a:r>
        </a:p>
      </cdr:txBody>
    </cdr:sp>
  </cdr:relSizeAnchor>
  <cdr:relSizeAnchor xmlns:cdr="http://schemas.openxmlformats.org/drawingml/2006/chartDrawing">
    <cdr:from>
      <cdr:x>0.62725</cdr:x>
      <cdr:y>0.42646</cdr:y>
    </cdr:from>
    <cdr:to>
      <cdr:x>0.6581</cdr:x>
      <cdr:y>0.45239</cdr:y>
    </cdr:to>
    <cdr:sp macro="" textlink="">
      <cdr:nvSpPr>
        <cdr:cNvPr id="1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5174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11</a:t>
          </a:r>
        </a:p>
      </cdr:txBody>
    </cdr:sp>
  </cdr:relSizeAnchor>
  <cdr:relSizeAnchor xmlns:cdr="http://schemas.openxmlformats.org/drawingml/2006/chartDrawing">
    <cdr:from>
      <cdr:x>0.72966</cdr:x>
      <cdr:y>0.42646</cdr:y>
    </cdr:from>
    <cdr:to>
      <cdr:x>0.76052</cdr:x>
      <cdr:y>0.45239</cdr:y>
    </cdr:to>
    <cdr:sp macro="" textlink="">
      <cdr:nvSpPr>
        <cdr:cNvPr id="1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82399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12</a:t>
          </a:r>
        </a:p>
      </cdr:txBody>
    </cdr:sp>
  </cdr:relSizeAnchor>
  <cdr:relSizeAnchor xmlns:cdr="http://schemas.openxmlformats.org/drawingml/2006/chartDrawing">
    <cdr:from>
      <cdr:x>0.18493</cdr:x>
      <cdr:y>0.46605</cdr:y>
    </cdr:from>
    <cdr:to>
      <cdr:x>0.21578</cdr:x>
      <cdr:y>0.49197</cdr:y>
    </cdr:to>
    <cdr:sp macro="" textlink="">
      <cdr:nvSpPr>
        <cdr:cNvPr id="1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867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13</a:t>
          </a:r>
        </a:p>
      </cdr:txBody>
    </cdr:sp>
  </cdr:relSizeAnchor>
  <cdr:relSizeAnchor xmlns:cdr="http://schemas.openxmlformats.org/drawingml/2006/chartDrawing">
    <cdr:from>
      <cdr:x>0.30367</cdr:x>
      <cdr:y>0.46605</cdr:y>
    </cdr:from>
    <cdr:to>
      <cdr:x>0.33453</cdr:x>
      <cdr:y>0.49197</cdr:y>
    </cdr:to>
    <cdr:sp macro="" textlink="">
      <cdr:nvSpPr>
        <cdr:cNvPr id="2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87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14</a:t>
          </a:r>
        </a:p>
      </cdr:txBody>
    </cdr:sp>
  </cdr:relSizeAnchor>
  <cdr:relSizeAnchor xmlns:cdr="http://schemas.openxmlformats.org/drawingml/2006/chartDrawing">
    <cdr:from>
      <cdr:x>0.47437</cdr:x>
      <cdr:y>0.46605</cdr:y>
    </cdr:from>
    <cdr:to>
      <cdr:x>0.50522</cdr:x>
      <cdr:y>0.49197</cdr:y>
    </cdr:to>
    <cdr:sp macro="" textlink="">
      <cdr:nvSpPr>
        <cdr:cNvPr id="2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15</a:t>
          </a:r>
        </a:p>
      </cdr:txBody>
    </cdr:sp>
  </cdr:relSizeAnchor>
  <cdr:relSizeAnchor xmlns:cdr="http://schemas.openxmlformats.org/drawingml/2006/chartDrawing">
    <cdr:from>
      <cdr:x>0.64506</cdr:x>
      <cdr:y>0.46605</cdr:y>
    </cdr:from>
    <cdr:to>
      <cdr:x>0.67591</cdr:x>
      <cdr:y>0.49197</cdr:y>
    </cdr:to>
    <cdr:sp macro="" textlink="">
      <cdr:nvSpPr>
        <cdr:cNvPr id="2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3947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16</a:t>
          </a:r>
        </a:p>
      </cdr:txBody>
    </cdr:sp>
  </cdr:relSizeAnchor>
  <cdr:relSizeAnchor xmlns:cdr="http://schemas.openxmlformats.org/drawingml/2006/chartDrawing">
    <cdr:from>
      <cdr:x>0.7549</cdr:x>
      <cdr:y>0.46605</cdr:y>
    </cdr:from>
    <cdr:to>
      <cdr:x>0.78575</cdr:x>
      <cdr:y>0.49197</cdr:y>
    </cdr:to>
    <cdr:sp macro="" textlink="">
      <cdr:nvSpPr>
        <cdr:cNvPr id="2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43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17</a:t>
          </a:r>
        </a:p>
      </cdr:txBody>
    </cdr:sp>
  </cdr:relSizeAnchor>
  <cdr:relSizeAnchor xmlns:cdr="http://schemas.openxmlformats.org/drawingml/2006/chartDrawing">
    <cdr:from>
      <cdr:x>0.19383</cdr:x>
      <cdr:y>0.49631</cdr:y>
    </cdr:from>
    <cdr:to>
      <cdr:x>0.22469</cdr:x>
      <cdr:y>0.52224</cdr:y>
    </cdr:to>
    <cdr:sp macro="" textlink="">
      <cdr:nvSpPr>
        <cdr:cNvPr id="2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43874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18</a:t>
          </a:r>
        </a:p>
      </cdr:txBody>
    </cdr:sp>
  </cdr:relSizeAnchor>
  <cdr:relSizeAnchor xmlns:cdr="http://schemas.openxmlformats.org/drawingml/2006/chartDrawing">
    <cdr:from>
      <cdr:x>0.30219</cdr:x>
      <cdr:y>0.49631</cdr:y>
    </cdr:from>
    <cdr:to>
      <cdr:x>0.33304</cdr:x>
      <cdr:y>0.52224</cdr:y>
    </cdr:to>
    <cdr:sp macro="" textlink="">
      <cdr:nvSpPr>
        <cdr:cNvPr id="2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91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19</a:t>
          </a:r>
        </a:p>
      </cdr:txBody>
    </cdr:sp>
  </cdr:relSizeAnchor>
  <cdr:relSizeAnchor xmlns:cdr="http://schemas.openxmlformats.org/drawingml/2006/chartDrawing">
    <cdr:from>
      <cdr:x>0.47437</cdr:x>
      <cdr:y>0.49631</cdr:y>
    </cdr:from>
    <cdr:to>
      <cdr:x>0.50522</cdr:x>
      <cdr:y>0.52224</cdr:y>
    </cdr:to>
    <cdr:sp macro="" textlink="">
      <cdr:nvSpPr>
        <cdr:cNvPr id="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20</a:t>
          </a:r>
        </a:p>
      </cdr:txBody>
    </cdr:sp>
  </cdr:relSizeAnchor>
  <cdr:relSizeAnchor xmlns:cdr="http://schemas.openxmlformats.org/drawingml/2006/chartDrawing">
    <cdr:from>
      <cdr:x>0.64803</cdr:x>
      <cdr:y>0.49631</cdr:y>
    </cdr:from>
    <cdr:to>
      <cdr:x>0.67888</cdr:x>
      <cdr:y>0.52224</cdr:y>
    </cdr:to>
    <cdr:sp macro="" textlink="">
      <cdr:nvSpPr>
        <cdr:cNvPr id="2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58524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21</a:t>
          </a:r>
        </a:p>
      </cdr:txBody>
    </cdr:sp>
  </cdr:relSizeAnchor>
  <cdr:relSizeAnchor xmlns:cdr="http://schemas.openxmlformats.org/drawingml/2006/chartDrawing">
    <cdr:from>
      <cdr:x>0.74747</cdr:x>
      <cdr:y>0.49631</cdr:y>
    </cdr:from>
    <cdr:to>
      <cdr:x>0.77833</cdr:x>
      <cdr:y>0.52224</cdr:y>
    </cdr:to>
    <cdr:sp macro="" textlink="">
      <cdr:nvSpPr>
        <cdr:cNvPr id="2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66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22</a:t>
          </a:r>
        </a:p>
      </cdr:txBody>
    </cdr:sp>
  </cdr:relSizeAnchor>
  <cdr:relSizeAnchor xmlns:cdr="http://schemas.openxmlformats.org/drawingml/2006/chartDrawing">
    <cdr:from>
      <cdr:x>0.2725</cdr:x>
      <cdr:y>0.60225</cdr:y>
    </cdr:from>
    <cdr:to>
      <cdr:x>0.30336</cdr:x>
      <cdr:y>0.62817</cdr:y>
    </cdr:to>
    <cdr:sp macro="" textlink="">
      <cdr:nvSpPr>
        <cdr:cNvPr id="2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4869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23</a:t>
          </a:r>
        </a:p>
      </cdr:txBody>
    </cdr:sp>
  </cdr:relSizeAnchor>
  <cdr:relSizeAnchor xmlns:cdr="http://schemas.openxmlformats.org/drawingml/2006/chartDrawing">
    <cdr:from>
      <cdr:x>0.37343</cdr:x>
      <cdr:y>0.60225</cdr:y>
    </cdr:from>
    <cdr:to>
      <cdr:x>0.40429</cdr:x>
      <cdr:y>0.62817</cdr:y>
    </cdr:to>
    <cdr:sp macro="" textlink="">
      <cdr:nvSpPr>
        <cdr:cNvPr id="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639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24</a:t>
          </a:r>
        </a:p>
      </cdr:txBody>
    </cdr:sp>
  </cdr:relSizeAnchor>
  <cdr:relSizeAnchor xmlns:cdr="http://schemas.openxmlformats.org/drawingml/2006/chartDrawing">
    <cdr:from>
      <cdr:x>0.55452</cdr:x>
      <cdr:y>0.60225</cdr:y>
    </cdr:from>
    <cdr:to>
      <cdr:x>0.58537</cdr:x>
      <cdr:y>0.62817</cdr:y>
    </cdr:to>
    <cdr:sp macro="" textlink="">
      <cdr:nvSpPr>
        <cdr:cNvPr id="3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5844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25</a:t>
          </a:r>
        </a:p>
      </cdr:txBody>
    </cdr:sp>
  </cdr:relSizeAnchor>
  <cdr:relSizeAnchor xmlns:cdr="http://schemas.openxmlformats.org/drawingml/2006/chartDrawing">
    <cdr:from>
      <cdr:x>0.67474</cdr:x>
      <cdr:y>0.60225</cdr:y>
    </cdr:from>
    <cdr:to>
      <cdr:x>0.7056</cdr:x>
      <cdr:y>0.62817</cdr:y>
    </cdr:to>
    <cdr:sp macro="" textlink="">
      <cdr:nvSpPr>
        <cdr:cNvPr id="3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29974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26</a:t>
          </a:r>
        </a:p>
      </cdr:txBody>
    </cdr:sp>
  </cdr:relSizeAnchor>
  <cdr:relSizeAnchor xmlns:cdr="http://schemas.openxmlformats.org/drawingml/2006/chartDrawing">
    <cdr:from>
      <cdr:x>0.47437</cdr:x>
      <cdr:y>0.7792</cdr:y>
    </cdr:from>
    <cdr:to>
      <cdr:x>0.50522</cdr:x>
      <cdr:y>0.80512</cdr:y>
    </cdr:to>
    <cdr:sp macro="" textlink="">
      <cdr:nvSpPr>
        <cdr:cNvPr id="3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63754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27</a:t>
          </a:r>
        </a:p>
      </cdr:txBody>
    </cdr:sp>
  </cdr:relSizeAnchor>
  <cdr:relSizeAnchor xmlns:cdr="http://schemas.openxmlformats.org/drawingml/2006/chartDrawing">
    <cdr:from>
      <cdr:x>0</cdr:x>
      <cdr:y>0.52932</cdr:y>
    </cdr:from>
    <cdr:to>
      <cdr:x>0.36251</cdr:x>
      <cdr:y>0.97501</cdr:y>
    </cdr:to>
    <cdr:sp macro="" textlink="">
      <cdr:nvSpPr>
        <cdr:cNvPr id="3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4330920"/>
          <a:ext cx="2326278" cy="36465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1 - quartzolite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2 - quartz-rich granitoid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3 - alkali feldspar granite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4 - syenogranite (granite)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5 - monzogranite (granite)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6 - granodiorite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7 - tonalite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8 - quartz alkali feldspar granite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9 - quartz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10 - quartz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11 - quartz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12 - quartz diorite/gabbro/anorthosite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13 - alkali feldspar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14 -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15 -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16 -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sng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17 - diorite/gabbro/anorthosite                       </a:t>
          </a:r>
        </a:p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18 - foid-bearing </a:t>
          </a:r>
          <a:r>
            <a:rPr lang="en-US" sz="900" b="0" i="0" baseline="0">
              <a:effectLst/>
              <a:latin typeface="Arial" pitchFamily="34" charset="0"/>
              <a:ea typeface="+mn-ea"/>
              <a:cs typeface="Arial" pitchFamily="34" charset="0"/>
            </a:rPr>
            <a:t>alkali feldspar syenite</a:t>
          </a:r>
          <a:endParaRPr lang="en-US" sz="9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19 - foid-bearing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20 - foid-bearing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21 - foid-bearing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22 - foid-bearing </a:t>
          </a:r>
          <a:r>
            <a:rPr lang="en-US" sz="900" b="0" i="0" baseline="0">
              <a:effectLst/>
              <a:latin typeface="Arial" pitchFamily="34" charset="0"/>
              <a:ea typeface="+mn-ea"/>
              <a:cs typeface="Arial" pitchFamily="34" charset="0"/>
            </a:rPr>
            <a:t>diorite/gabbro/anorthosite</a:t>
          </a:r>
          <a:endParaRPr lang="en-US" sz="9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23 - foid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24 - foid monzosyenite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25 - foid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26 - foid diorite/gabbro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27 - foidolite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4141</xdr:colOff>
      <xdr:row>1</xdr:row>
      <xdr:rowOff>82826</xdr:rowOff>
    </xdr:from>
    <xdr:to>
      <xdr:col>32</xdr:col>
      <xdr:colOff>20545</xdr:colOff>
      <xdr:row>34</xdr:row>
      <xdr:rowOff>82827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0.45418</cdr:x>
      <cdr:y>0.10446</cdr:y>
    </cdr:from>
    <cdr:to>
      <cdr:x>0.52711</cdr:x>
      <cdr:y>0.13759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96517" y="458543"/>
          <a:ext cx="465107" cy="1454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0.1181</cdr:x>
      <cdr:y>0.90797</cdr:y>
    </cdr:from>
    <cdr:to>
      <cdr:x>0.16122</cdr:x>
      <cdr:y>0.94129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3199" y="3985786"/>
          <a:ext cx="274996" cy="146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Px</a:t>
          </a:r>
        </a:p>
      </cdr:txBody>
    </cdr:sp>
  </cdr:relSizeAnchor>
  <cdr:relSizeAnchor xmlns:cdr="http://schemas.openxmlformats.org/drawingml/2006/chartDrawing">
    <cdr:from>
      <cdr:x>0.81936</cdr:x>
      <cdr:y>0.90691</cdr:y>
    </cdr:from>
    <cdr:to>
      <cdr:x>0.85777</cdr:x>
      <cdr:y>0.94023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25395" y="3981157"/>
          <a:ext cx="244958" cy="14626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0.60409</cdr:x>
      <cdr:y>0.28601</cdr:y>
    </cdr:from>
    <cdr:to>
      <cdr:x>0.67702</cdr:x>
      <cdr:y>0.31209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52536" y="1255514"/>
          <a:ext cx="465107" cy="11448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0.70538</cdr:x>
      <cdr:y>0.51715</cdr:y>
    </cdr:from>
    <cdr:to>
      <cdr:x>0.80846</cdr:x>
      <cdr:y>0.54322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98540" y="2270186"/>
          <a:ext cx="657387" cy="11444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0.77292</cdr:x>
      <cdr:y>0.72116</cdr:y>
    </cdr:from>
    <cdr:to>
      <cdr:x>0.87599</cdr:x>
      <cdr:y>0.74723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29266" y="3165716"/>
          <a:ext cx="657323" cy="1144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0.81188</cdr:x>
      <cdr:y>0.86412</cdr:y>
    </cdr:from>
    <cdr:to>
      <cdr:x>0.93314</cdr:x>
      <cdr:y>0.8902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77730" y="3793316"/>
          <a:ext cx="773330" cy="1144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0.30927</cdr:x>
      <cdr:y>0.17079</cdr:y>
    </cdr:from>
    <cdr:to>
      <cdr:x>0.42014</cdr:x>
      <cdr:y>0.19686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2346" y="749710"/>
          <a:ext cx="707067" cy="11444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0.18329</cdr:x>
      <cdr:y>0.39475</cdr:y>
    </cdr:from>
    <cdr:to>
      <cdr:x>0.30845</cdr:x>
      <cdr:y>0.54386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68945" y="1732881"/>
          <a:ext cx="798202" cy="6545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0.30148</cdr:x>
      <cdr:y>0.85347</cdr:y>
    </cdr:from>
    <cdr:to>
      <cdr:x>0.68638</cdr:x>
      <cdr:y>0.87955</cdr:y>
    </cdr:to>
    <cdr:sp macro="" textlink="">
      <cdr:nvSpPr>
        <cdr:cNvPr id="1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650" y="3746546"/>
          <a:ext cx="2454679" cy="1144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ultramafic rock</a:t>
          </a:r>
        </a:p>
      </cdr:txBody>
    </cdr:sp>
  </cdr:relSizeAnchor>
  <cdr:relSizeAnchor xmlns:cdr="http://schemas.openxmlformats.org/drawingml/2006/chartDrawing">
    <cdr:from>
      <cdr:x>0.3794</cdr:x>
      <cdr:y>0.50739</cdr:y>
    </cdr:from>
    <cdr:to>
      <cdr:x>0.60196</cdr:x>
      <cdr:y>0.56972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9611" y="2227330"/>
          <a:ext cx="1419365" cy="2736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norite</a:t>
          </a:r>
        </a:p>
      </cdr:txBody>
    </cdr:sp>
  </cdr:relSizeAnchor>
  <cdr:relSizeAnchor xmlns:cdr="http://schemas.openxmlformats.org/drawingml/2006/chartDrawing">
    <cdr:from>
      <cdr:x>0.63136</cdr:x>
      <cdr:y>0.47087</cdr:y>
    </cdr:from>
    <cdr:to>
      <cdr:x>0.75651</cdr:x>
      <cdr:y>0.49694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6466" y="2067010"/>
          <a:ext cx="798137" cy="1144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troctolite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89B2A5E5-3140-450B-B064-D927AECCA360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09"/>
          <a:ext cx="438960" cy="68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0.30845</cdr:x>
      <cdr:y>0.46931</cdr:y>
    </cdr:from>
    <cdr:to>
      <cdr:x>0.36299</cdr:x>
      <cdr:y>0.49788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4E1C8842-956A-45BA-AC67-8E1D3BD78979}"/>
            </a:ext>
          </a:extLst>
        </cdr:cNvPr>
        <cdr:cNvCxnSpPr>
          <a:stCxn xmlns:a="http://schemas.openxmlformats.org/drawingml/2006/main" id="13" idx="3"/>
        </cdr:cNvCxnSpPr>
      </cdr:nvCxnSpPr>
      <cdr:spPr>
        <a:xfrm xmlns:a="http://schemas.openxmlformats.org/drawingml/2006/main">
          <a:off x="1967147" y="2060150"/>
          <a:ext cx="347826" cy="12543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0.62015</cdr:x>
      <cdr:y>0.48722</cdr:y>
    </cdr:from>
    <cdr:to>
      <cdr:x>0.65521</cdr:x>
      <cdr:y>0.50656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241DFED2-9589-42C1-BC2F-CF788E80EC13}"/>
            </a:ext>
          </a:extLst>
        </cdr:cNvPr>
        <cdr:cNvCxnSpPr/>
      </cdr:nvCxnSpPr>
      <cdr:spPr>
        <a:xfrm xmlns:a="http://schemas.openxmlformats.org/drawingml/2006/main" flipH="1">
          <a:off x="3954974" y="21387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310599</xdr:colOff>
      <xdr:row>0</xdr:row>
      <xdr:rowOff>99391</xdr:rowOff>
    </xdr:from>
    <xdr:to>
      <xdr:col>31</xdr:col>
      <xdr:colOff>327003</xdr:colOff>
      <xdr:row>33</xdr:row>
      <xdr:rowOff>99391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0.45158</cdr:x>
      <cdr:y>0.10446</cdr:y>
    </cdr:from>
    <cdr:to>
      <cdr:x>0.52451</cdr:x>
      <cdr:y>0.13759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9951" y="458544"/>
          <a:ext cx="465107" cy="1454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0.1233</cdr:x>
      <cdr:y>0.9042</cdr:y>
    </cdr:from>
    <cdr:to>
      <cdr:x>0.16642</cdr:x>
      <cdr:y>0.93752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6330" y="3969221"/>
          <a:ext cx="274996" cy="146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Px</a:t>
          </a:r>
        </a:p>
      </cdr:txBody>
    </cdr:sp>
  </cdr:relSizeAnchor>
  <cdr:relSizeAnchor xmlns:cdr="http://schemas.openxmlformats.org/drawingml/2006/chartDrawing">
    <cdr:from>
      <cdr:x>0.82193</cdr:x>
      <cdr:y>0.91182</cdr:y>
    </cdr:from>
    <cdr:to>
      <cdr:x>0.87596</cdr:x>
      <cdr:y>0.94515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41847" y="4002686"/>
          <a:ext cx="344573" cy="14631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Hbl</a:t>
          </a:r>
        </a:p>
      </cdr:txBody>
    </cdr:sp>
  </cdr:relSizeAnchor>
  <cdr:relSizeAnchor xmlns:cdr="http://schemas.openxmlformats.org/drawingml/2006/chartDrawing">
    <cdr:from>
      <cdr:x>0.5885</cdr:x>
      <cdr:y>0.28972</cdr:y>
    </cdr:from>
    <cdr:to>
      <cdr:x>0.66143</cdr:x>
      <cdr:y>0.3158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53145" y="1271788"/>
          <a:ext cx="465107" cy="11448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0.69889</cdr:x>
      <cdr:y>0.52652</cdr:y>
    </cdr:from>
    <cdr:to>
      <cdr:x>0.80197</cdr:x>
      <cdr:y>0.55259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57128" y="2311309"/>
          <a:ext cx="657387" cy="11444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0.75604</cdr:x>
      <cdr:y>0.72298</cdr:y>
    </cdr:from>
    <cdr:to>
      <cdr:x>0.85911</cdr:x>
      <cdr:y>0.74906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21591" y="3173708"/>
          <a:ext cx="657323" cy="1144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0.7976</cdr:x>
      <cdr:y>0.84896</cdr:y>
    </cdr:from>
    <cdr:to>
      <cdr:x>0.91886</cdr:x>
      <cdr:y>0.87504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6621" y="3726763"/>
          <a:ext cx="773330" cy="1144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0.31576</cdr:x>
      <cdr:y>0.16128</cdr:y>
    </cdr:from>
    <cdr:to>
      <cdr:x>0.42663</cdr:x>
      <cdr:y>0.18735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3759" y="708005"/>
          <a:ext cx="707067" cy="11444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0.18849</cdr:x>
      <cdr:y>0.4343</cdr:y>
    </cdr:from>
    <cdr:to>
      <cdr:x>0.31365</cdr:x>
      <cdr:y>0.49663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02074" y="1906485"/>
          <a:ext cx="798202" cy="27361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0.50538</cdr:x>
      <cdr:y>0.72264</cdr:y>
    </cdr:from>
    <cdr:to>
      <cdr:x>0.69417</cdr:x>
      <cdr:y>0.81142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23048" y="3172240"/>
          <a:ext cx="1203998" cy="3897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0.3794</cdr:x>
      <cdr:y>0.49789</cdr:y>
    </cdr:from>
    <cdr:to>
      <cdr:x>0.60196</cdr:x>
      <cdr:y>0.56022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9611" y="2185626"/>
          <a:ext cx="1419365" cy="2736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norite</a:t>
          </a:r>
        </a:p>
      </cdr:txBody>
    </cdr:sp>
  </cdr:relSizeAnchor>
  <cdr:relSizeAnchor xmlns:cdr="http://schemas.openxmlformats.org/drawingml/2006/chartDrawing">
    <cdr:from>
      <cdr:x>0.63526</cdr:x>
      <cdr:y>0.43909</cdr:y>
    </cdr:from>
    <cdr:to>
      <cdr:x>0.76041</cdr:x>
      <cdr:y>0.4833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51314" y="1927512"/>
          <a:ext cx="798137" cy="1940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 gabbro</a:t>
          </a:r>
        </a:p>
      </cdr:txBody>
    </cdr:sp>
  </cdr:relSizeAnchor>
  <cdr:relSizeAnchor xmlns:cdr="http://schemas.openxmlformats.org/drawingml/2006/chartDrawing">
    <cdr:from>
      <cdr:x>0.42014</cdr:x>
      <cdr:y>0.17621</cdr:y>
    </cdr:from>
    <cdr:to>
      <cdr:x>0.48897</cdr:x>
      <cdr:y>0.19178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450D04A9-CDE9-49E3-9DBB-3C6249BF0E98}"/>
            </a:ext>
          </a:extLst>
        </cdr:cNvPr>
        <cdr:cNvCxnSpPr/>
      </cdr:nvCxnSpPr>
      <cdr:spPr>
        <a:xfrm xmlns:a="http://schemas.openxmlformats.org/drawingml/2006/main">
          <a:off x="2679412" y="773532"/>
          <a:ext cx="438960" cy="68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0.30586</cdr:x>
      <cdr:y>0.46736</cdr:y>
    </cdr:from>
    <cdr:to>
      <cdr:x>0.3604</cdr:x>
      <cdr:y>0.49593</cdr:y>
    </cdr:to>
    <cdr:cxnSp macro="">
      <cdr:nvCxnSpPr>
        <cdr:cNvPr id="15" name="Straight Arrow Connector 14">
          <a:extLst xmlns:a="http://schemas.openxmlformats.org/drawingml/2006/main">
            <a:ext uri="{FF2B5EF4-FFF2-40B4-BE49-F238E27FC236}">
              <a16:creationId xmlns:a16="http://schemas.microsoft.com/office/drawing/2014/main" id="{0B61F746-96D4-49D6-83FA-9A7772A3B952}"/>
            </a:ext>
          </a:extLst>
        </cdr:cNvPr>
        <cdr:cNvCxnSpPr/>
      </cdr:nvCxnSpPr>
      <cdr:spPr>
        <a:xfrm xmlns:a="http://schemas.openxmlformats.org/drawingml/2006/main">
          <a:off x="1950581" y="2051597"/>
          <a:ext cx="347826" cy="12541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0.61625</cdr:x>
      <cdr:y>0.47583</cdr:y>
    </cdr:from>
    <cdr:to>
      <cdr:x>0.65651</cdr:x>
      <cdr:y>0.5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9A68B5D7-6C71-4FCB-B1A4-6689BC5E0477}"/>
            </a:ext>
          </a:extLst>
        </cdr:cNvPr>
        <cdr:cNvCxnSpPr/>
      </cdr:nvCxnSpPr>
      <cdr:spPr>
        <a:xfrm xmlns:a="http://schemas.openxmlformats.org/drawingml/2006/main" flipH="1">
          <a:off x="3930097" y="2088796"/>
          <a:ext cx="256754" cy="10609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0.2872</cdr:x>
      <cdr:y>0.72264</cdr:y>
    </cdr:from>
    <cdr:to>
      <cdr:x>0.47599</cdr:x>
      <cdr:y>0.80772</cdr:y>
    </cdr:to>
    <cdr:sp macro="" textlink="">
      <cdr:nvSpPr>
        <cdr:cNvPr id="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31588" y="3172240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0.3604</cdr:x>
      <cdr:y>0.80772</cdr:y>
    </cdr:from>
    <cdr:to>
      <cdr:x>0.38159</cdr:x>
      <cdr:y>0.86981</cdr:y>
    </cdr:to>
    <cdr:cxnSp macro="">
      <cdr:nvCxnSpPr>
        <cdr:cNvPr id="19" name="Straight Arrow Connector 18">
          <a:extLst xmlns:a="http://schemas.openxmlformats.org/drawingml/2006/main">
            <a:ext uri="{FF2B5EF4-FFF2-40B4-BE49-F238E27FC236}">
              <a16:creationId xmlns:a16="http://schemas.microsoft.com/office/drawing/2014/main" id="{8732B178-9D0B-46BA-AA3E-F3F97D825C99}"/>
            </a:ext>
          </a:extLst>
        </cdr:cNvPr>
        <cdr:cNvCxnSpPr>
          <a:stCxn xmlns:a="http://schemas.openxmlformats.org/drawingml/2006/main" id="17" idx="2"/>
        </cdr:cNvCxnSpPr>
      </cdr:nvCxnSpPr>
      <cdr:spPr>
        <a:xfrm xmlns:a="http://schemas.openxmlformats.org/drawingml/2006/main" flipH="1">
          <a:off x="2298423" y="3545706"/>
          <a:ext cx="135164" cy="27257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0.59801</cdr:x>
      <cdr:y>0.81346</cdr:y>
    </cdr:from>
    <cdr:to>
      <cdr:x>0.62274</cdr:x>
      <cdr:y>0.86981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A268B9AE-951D-457F-9D58-D99BCB473FFA}"/>
            </a:ext>
          </a:extLst>
        </cdr:cNvPr>
        <cdr:cNvCxnSpPr/>
      </cdr:nvCxnSpPr>
      <cdr:spPr>
        <a:xfrm xmlns:a="http://schemas.openxmlformats.org/drawingml/2006/main">
          <a:off x="3813746" y="3570909"/>
          <a:ext cx="157764" cy="24737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0.20927</cdr:x>
      <cdr:y>0.91492</cdr:y>
    </cdr:from>
    <cdr:to>
      <cdr:x>0.39806</cdr:x>
      <cdr:y>1</cdr:y>
    </cdr:to>
    <cdr:sp macro="" textlink="">
      <cdr:nvSpPr>
        <cdr:cNvPr id="2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34604" y="4016317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0.5924</cdr:x>
      <cdr:y>0.91492</cdr:y>
    </cdr:from>
    <cdr:to>
      <cdr:x>0.78119</cdr:x>
      <cdr:y>1</cdr:y>
    </cdr:to>
    <cdr:sp macro="" textlink="">
      <cdr:nvSpPr>
        <cdr:cNvPr id="2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77973" y="4016317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hornblendite</a:t>
          </a:r>
        </a:p>
      </cdr:txBody>
    </cdr:sp>
  </cdr:relSizeAnchor>
  <cdr:relSizeAnchor xmlns:cdr="http://schemas.openxmlformats.org/drawingml/2006/chartDrawing">
    <cdr:from>
      <cdr:x>0.19676</cdr:x>
      <cdr:y>0.88113</cdr:y>
    </cdr:from>
    <cdr:to>
      <cdr:x>0.22533</cdr:x>
      <cdr:y>0.93019</cdr:y>
    </cdr:to>
    <cdr:cxnSp macro="">
      <cdr:nvCxnSpPr>
        <cdr:cNvPr id="30" name="Straight Arrow Connector 29">
          <a:extLst xmlns:a="http://schemas.openxmlformats.org/drawingml/2006/main">
            <a:ext uri="{FF2B5EF4-FFF2-40B4-BE49-F238E27FC236}">
              <a16:creationId xmlns:a16="http://schemas.microsoft.com/office/drawing/2014/main" id="{BA5BE908-CFF9-4CFE-AC44-184AD301A37F}"/>
            </a:ext>
          </a:extLst>
        </cdr:cNvPr>
        <cdr:cNvCxnSpPr/>
      </cdr:nvCxnSpPr>
      <cdr:spPr>
        <a:xfrm xmlns:a="http://schemas.openxmlformats.org/drawingml/2006/main" flipH="1" flipV="1">
          <a:off x="1254815" y="3867978"/>
          <a:ext cx="182217" cy="215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0.75781</cdr:x>
      <cdr:y>0.88113</cdr:y>
    </cdr:from>
    <cdr:to>
      <cdr:x>0.78119</cdr:x>
      <cdr:y>0.92642</cdr:y>
    </cdr:to>
    <cdr:cxnSp macro="">
      <cdr:nvCxnSpPr>
        <cdr:cNvPr id="33" name="Straight Arrow Connector 32">
          <a:extLst xmlns:a="http://schemas.openxmlformats.org/drawingml/2006/main">
            <a:ext uri="{FF2B5EF4-FFF2-40B4-BE49-F238E27FC236}">
              <a16:creationId xmlns:a16="http://schemas.microsoft.com/office/drawing/2014/main" id="{21A207F9-4051-44B7-B9E9-8318C0A46ED0}"/>
            </a:ext>
          </a:extLst>
        </cdr:cNvPr>
        <cdr:cNvCxnSpPr/>
      </cdr:nvCxnSpPr>
      <cdr:spPr>
        <a:xfrm xmlns:a="http://schemas.openxmlformats.org/drawingml/2006/main" flipV="1">
          <a:off x="4832902" y="3867979"/>
          <a:ext cx="149087" cy="19878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45554</xdr:colOff>
      <xdr:row>1</xdr:row>
      <xdr:rowOff>16565</xdr:rowOff>
    </xdr:from>
    <xdr:to>
      <xdr:col>32</xdr:col>
      <xdr:colOff>61958</xdr:colOff>
      <xdr:row>33</xdr:row>
      <xdr:rowOff>124239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0.09718</cdr:y>
    </cdr:from>
    <cdr:to>
      <cdr:x>0.52321</cdr:x>
      <cdr:y>0.13031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24176"/>
          <a:ext cx="465107" cy="14461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0.09885</cdr:x>
      <cdr:y>0.88844</cdr:y>
    </cdr:from>
    <cdr:to>
      <cdr:x>0.16229</cdr:x>
      <cdr:y>0.95054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0436" y="3877964"/>
          <a:ext cx="404534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0.81931</cdr:x>
      <cdr:y>0.90747</cdr:y>
    </cdr:from>
    <cdr:to>
      <cdr:x>0.88117</cdr:x>
      <cdr:y>0.96958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25096" y="3961051"/>
          <a:ext cx="394532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Cpx</a:t>
          </a:r>
        </a:p>
      </cdr:txBody>
    </cdr:sp>
  </cdr:relSizeAnchor>
  <cdr:relSizeAnchor xmlns:cdr="http://schemas.openxmlformats.org/drawingml/2006/chartDrawing">
    <cdr:from>
      <cdr:x>0.60928</cdr:x>
      <cdr:y>0.30857</cdr:y>
    </cdr:from>
    <cdr:to>
      <cdr:x>0.68221</cdr:x>
      <cdr:y>0.33465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5666" y="1346868"/>
          <a:ext cx="465107" cy="11383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0.6911</cdr:x>
      <cdr:y>0.53464</cdr:y>
    </cdr:from>
    <cdr:to>
      <cdr:x>0.79418</cdr:x>
      <cdr:y>0.56071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07431" y="2333667"/>
          <a:ext cx="657387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0.76773</cdr:x>
      <cdr:y>0.72782</cdr:y>
    </cdr:from>
    <cdr:to>
      <cdr:x>0.8708</cdr:x>
      <cdr:y>0.75389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96135" y="3176870"/>
          <a:ext cx="657323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0.81318</cdr:x>
      <cdr:y>0.8617</cdr:y>
    </cdr:from>
    <cdr:to>
      <cdr:x>0.93444</cdr:x>
      <cdr:y>0.88778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6013" y="3761285"/>
          <a:ext cx="773330" cy="1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0.33265</cdr:x>
      <cdr:y>0.17031</cdr:y>
    </cdr:from>
    <cdr:to>
      <cdr:x>0.44352</cdr:x>
      <cdr:y>0.19638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21432" y="743409"/>
          <a:ext cx="707067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0.23961</cdr:x>
      <cdr:y>0.46221</cdr:y>
    </cdr:from>
    <cdr:to>
      <cdr:x>0.30715</cdr:x>
      <cdr:y>0.48828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28131" y="2017522"/>
          <a:ext cx="430733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0.27291</cdr:x>
      <cdr:y>0.86063</cdr:y>
    </cdr:from>
    <cdr:to>
      <cdr:x>0.72404</cdr:x>
      <cdr:y>0.88671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40469" y="3756581"/>
          <a:ext cx="2877058" cy="1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pyroxenite</a:t>
          </a:r>
        </a:p>
      </cdr:txBody>
    </cdr:sp>
  </cdr:relSizeAnchor>
  <cdr:relSizeAnchor xmlns:cdr="http://schemas.openxmlformats.org/drawingml/2006/chartDrawing">
    <cdr:from>
      <cdr:x>0.3781</cdr:x>
      <cdr:y>0.46715</cdr:y>
    </cdr:from>
    <cdr:to>
      <cdr:x>0.60066</cdr:x>
      <cdr:y>0.49322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1329" y="2039072"/>
          <a:ext cx="1419365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gabbronorite</a:t>
          </a:r>
        </a:p>
      </cdr:txBody>
    </cdr:sp>
  </cdr:relSizeAnchor>
  <cdr:relSizeAnchor xmlns:cdr="http://schemas.openxmlformats.org/drawingml/2006/chartDrawing">
    <cdr:from>
      <cdr:x>0.63136</cdr:x>
      <cdr:y>0.46743</cdr:y>
    </cdr:from>
    <cdr:to>
      <cdr:x>0.75651</cdr:x>
      <cdr:y>0.4935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6466" y="2040296"/>
          <a:ext cx="798137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</cdr:txBody>
    </cdr:sp>
  </cdr:relSizeAnchor>
  <cdr:relSizeAnchor xmlns:cdr="http://schemas.openxmlformats.org/drawingml/2006/chartDrawing">
    <cdr:from>
      <cdr:x>0.43832</cdr:x>
      <cdr:y>0.18596</cdr:y>
    </cdr:from>
    <cdr:to>
      <cdr:x>0.49027</cdr:x>
      <cdr:y>0.19702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4658AA6E-E107-41AC-A4E6-65E5B9B6E303}"/>
            </a:ext>
          </a:extLst>
        </cdr:cNvPr>
        <cdr:cNvCxnSpPr/>
      </cdr:nvCxnSpPr>
      <cdr:spPr>
        <a:xfrm xmlns:a="http://schemas.openxmlformats.org/drawingml/2006/main">
          <a:off x="2795381" y="811696"/>
          <a:ext cx="331274" cy="4826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0.30066</cdr:x>
      <cdr:y>0.48093</cdr:y>
    </cdr:from>
    <cdr:to>
      <cdr:x>0.3552</cdr:x>
      <cdr:y>0.50951</cdr:y>
    </cdr:to>
    <cdr:cxnSp macro="">
      <cdr:nvCxnSpPr>
        <cdr:cNvPr id="15" name="Straight Arrow Connector 14">
          <a:extLst xmlns:a="http://schemas.openxmlformats.org/drawingml/2006/main">
            <a:ext uri="{FF2B5EF4-FFF2-40B4-BE49-F238E27FC236}">
              <a16:creationId xmlns:a16="http://schemas.microsoft.com/office/drawing/2014/main" id="{D82396B7-38DA-4CC5-8D35-49B36DFE1B31}"/>
            </a:ext>
          </a:extLst>
        </cdr:cNvPr>
        <cdr:cNvCxnSpPr/>
      </cdr:nvCxnSpPr>
      <cdr:spPr>
        <a:xfrm xmlns:a="http://schemas.openxmlformats.org/drawingml/2006/main">
          <a:off x="1917451" y="2099244"/>
          <a:ext cx="347826" cy="1247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0.62015</cdr:x>
      <cdr:y>0.48378</cdr:y>
    </cdr:from>
    <cdr:to>
      <cdr:x>0.65521</cdr:x>
      <cdr:y>0.50312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F60CDBEB-536A-4985-BE03-4EEC9C439B26}"/>
            </a:ext>
          </a:extLst>
        </cdr:cNvPr>
        <cdr:cNvCxnSpPr/>
      </cdr:nvCxnSpPr>
      <cdr:spPr>
        <a:xfrm xmlns:a="http://schemas.openxmlformats.org/drawingml/2006/main" flipH="1">
          <a:off x="3954974" y="2111663"/>
          <a:ext cx="223594" cy="8441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0.30667</cdr:x>
      <cdr:y>0.66122</cdr:y>
    </cdr:from>
    <cdr:to>
      <cdr:x>0.47598</cdr:x>
      <cdr:y>0.70543</cdr:y>
    </cdr:to>
    <cdr:sp macro="" textlink="">
      <cdr:nvSpPr>
        <cdr:cNvPr id="2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55788" y="2886161"/>
          <a:ext cx="1079766" cy="192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clinopyroxene norite</a:t>
          </a:r>
        </a:p>
      </cdr:txBody>
    </cdr:sp>
  </cdr:relSizeAnchor>
  <cdr:relSizeAnchor xmlns:cdr="http://schemas.openxmlformats.org/drawingml/2006/chartDrawing">
    <cdr:from>
      <cdr:x>0.50278</cdr:x>
      <cdr:y>0.66112</cdr:y>
    </cdr:from>
    <cdr:to>
      <cdr:x>0.67209</cdr:x>
      <cdr:y>0.70533</cdr:y>
    </cdr:to>
    <cdr:sp macro="" textlink="">
      <cdr:nvSpPr>
        <cdr:cNvPr id="2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06470" y="2885725"/>
          <a:ext cx="1079765" cy="192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orthopyroxene norite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120098</xdr:colOff>
      <xdr:row>2</xdr:row>
      <xdr:rowOff>16565</xdr:rowOff>
    </xdr:from>
    <xdr:to>
      <xdr:col>31</xdr:col>
      <xdr:colOff>136502</xdr:colOff>
      <xdr:row>35</xdr:row>
      <xdr:rowOff>33131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0.09203</cdr:y>
    </cdr:from>
    <cdr:to>
      <cdr:x>0.52321</cdr:x>
      <cdr:y>0.15379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03992"/>
          <a:ext cx="465107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0.10016</cdr:x>
      <cdr:y>0.89941</cdr:y>
    </cdr:from>
    <cdr:to>
      <cdr:x>0.16359</cdr:x>
      <cdr:y>0.96117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8734" y="3948218"/>
          <a:ext cx="404534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0.81802</cdr:x>
      <cdr:y>0.90402</cdr:y>
    </cdr:from>
    <cdr:to>
      <cdr:x>0.87988</cdr:x>
      <cdr:y>0.96577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16869" y="3968437"/>
          <a:ext cx="394532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Cpx</a:t>
          </a:r>
        </a:p>
      </cdr:txBody>
    </cdr:sp>
  </cdr:relSizeAnchor>
  <cdr:relSizeAnchor xmlns:cdr="http://schemas.openxmlformats.org/drawingml/2006/chartDrawing">
    <cdr:from>
      <cdr:x>0.78331</cdr:x>
      <cdr:y>0.3381</cdr:y>
    </cdr:from>
    <cdr:to>
      <cdr:x>0.88639</cdr:x>
      <cdr:y>0.38642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95498" y="1484200"/>
          <a:ext cx="65738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0.78461</cdr:x>
      <cdr:y>0.74965</cdr:y>
    </cdr:from>
    <cdr:to>
      <cdr:x>0.88768</cdr:x>
      <cdr:y>0.79797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03809" y="3290819"/>
          <a:ext cx="657323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0.35131</cdr:x>
      <cdr:y>0.15966</cdr:y>
    </cdr:from>
    <cdr:to>
      <cdr:x>0.42014</cdr:x>
      <cdr:y>0.20798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0446" y="700876"/>
          <a:ext cx="43896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dunite</a:t>
          </a:r>
        </a:p>
      </cdr:txBody>
    </cdr:sp>
  </cdr:relSizeAnchor>
  <cdr:relSizeAnchor xmlns:cdr="http://schemas.openxmlformats.org/drawingml/2006/chartDrawing">
    <cdr:from>
      <cdr:x>0.22793</cdr:x>
      <cdr:y>0.36213</cdr:y>
    </cdr:from>
    <cdr:to>
      <cdr:x>0.34092</cdr:x>
      <cdr:y>0.41045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53598" y="1589660"/>
          <a:ext cx="720613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harzburgite</a:t>
          </a:r>
        </a:p>
      </cdr:txBody>
    </cdr:sp>
  </cdr:relSizeAnchor>
  <cdr:relSizeAnchor xmlns:cdr="http://schemas.openxmlformats.org/drawingml/2006/chartDrawing">
    <cdr:from>
      <cdr:x>0.30148</cdr:x>
      <cdr:y>0.86499</cdr:y>
    </cdr:from>
    <cdr:to>
      <cdr:x>0.68638</cdr:x>
      <cdr:y>0.91331</cdr:y>
    </cdr:to>
    <cdr:sp macro="" textlink="">
      <cdr:nvSpPr>
        <cdr:cNvPr id="1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650" y="3797127"/>
          <a:ext cx="2454679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websterite</a:t>
          </a:r>
        </a:p>
      </cdr:txBody>
    </cdr:sp>
  </cdr:relSizeAnchor>
  <cdr:relSizeAnchor xmlns:cdr="http://schemas.openxmlformats.org/drawingml/2006/chartDrawing">
    <cdr:from>
      <cdr:x>0.3807</cdr:x>
      <cdr:y>0.4276</cdr:y>
    </cdr:from>
    <cdr:to>
      <cdr:x>0.60326</cdr:x>
      <cdr:y>0.47592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27893" y="1877083"/>
          <a:ext cx="141936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lherzolite</a:t>
          </a:r>
        </a:p>
      </cdr:txBody>
    </cdr:sp>
  </cdr:relSizeAnchor>
  <cdr:relSizeAnchor xmlns:cdr="http://schemas.openxmlformats.org/drawingml/2006/chartDrawing">
    <cdr:from>
      <cdr:x>0.5937</cdr:x>
      <cdr:y>0.37107</cdr:y>
    </cdr:from>
    <cdr:to>
      <cdr:x>0.71885</cdr:x>
      <cdr:y>0.41938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86270" y="1628895"/>
          <a:ext cx="798137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werlite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1B81F969-2EFC-42D1-9462-183AC75E1869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31"/>
          <a:ext cx="438960" cy="6832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0.34092</cdr:x>
      <cdr:y>0.38629</cdr:y>
    </cdr:from>
    <cdr:to>
      <cdr:x>0.39546</cdr:x>
      <cdr:y>0.41486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557F48BF-A515-40CD-89E3-C951E798B11A}"/>
            </a:ext>
          </a:extLst>
        </cdr:cNvPr>
        <cdr:cNvCxnSpPr>
          <a:stCxn xmlns:a="http://schemas.openxmlformats.org/drawingml/2006/main" id="13" idx="3"/>
        </cdr:cNvCxnSpPr>
      </cdr:nvCxnSpPr>
      <cdr:spPr>
        <a:xfrm xmlns:a="http://schemas.openxmlformats.org/drawingml/2006/main">
          <a:off x="2174211" y="1695715"/>
          <a:ext cx="347827" cy="12543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0.58249</cdr:x>
      <cdr:y>0.39854</cdr:y>
    </cdr:from>
    <cdr:to>
      <cdr:x>0.61755</cdr:x>
      <cdr:y>0.41788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C1145EED-2856-424F-A8E6-BD7C13B26D1E}"/>
            </a:ext>
          </a:extLst>
        </cdr:cNvPr>
        <cdr:cNvCxnSpPr/>
      </cdr:nvCxnSpPr>
      <cdr:spPr>
        <a:xfrm xmlns:a="http://schemas.openxmlformats.org/drawingml/2006/main" flipH="1">
          <a:off x="3714778" y="1749501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0.37681</cdr:x>
      <cdr:y>0.71912</cdr:y>
    </cdr:from>
    <cdr:to>
      <cdr:x>0.59937</cdr:x>
      <cdr:y>0.76744</cdr:y>
    </cdr:to>
    <cdr:sp macro="" textlink="">
      <cdr:nvSpPr>
        <cdr:cNvPr id="2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03061" y="3156778"/>
          <a:ext cx="141936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websterite</a:t>
          </a:r>
        </a:p>
      </cdr:txBody>
    </cdr:sp>
  </cdr:relSizeAnchor>
  <cdr:relSizeAnchor xmlns:cdr="http://schemas.openxmlformats.org/drawingml/2006/chartDrawing">
    <cdr:from>
      <cdr:x>0.08589</cdr:x>
      <cdr:y>0.61742</cdr:y>
    </cdr:from>
    <cdr:to>
      <cdr:x>0.24351</cdr:x>
      <cdr:y>0.69933</cdr:y>
    </cdr:to>
    <cdr:sp macro="" textlink="">
      <cdr:nvSpPr>
        <cdr:cNvPr id="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7757" y="2710323"/>
          <a:ext cx="100523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orthopyroxenite</a:t>
          </a:r>
        </a:p>
      </cdr:txBody>
    </cdr:sp>
  </cdr:relSizeAnchor>
  <cdr:relSizeAnchor xmlns:cdr="http://schemas.openxmlformats.org/drawingml/2006/chartDrawing">
    <cdr:from>
      <cdr:x>0.73089</cdr:x>
      <cdr:y>0.62258</cdr:y>
    </cdr:from>
    <cdr:to>
      <cdr:x>0.88379</cdr:x>
      <cdr:y>0.70449</cdr:y>
    </cdr:to>
    <cdr:sp macro="" textlink="">
      <cdr:nvSpPr>
        <cdr:cNvPr id="2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61191" y="2732992"/>
          <a:ext cx="97512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clinopyroxenite</a:t>
          </a:r>
        </a:p>
      </cdr:txBody>
    </cdr:sp>
  </cdr:relSizeAnchor>
  <cdr:relSizeAnchor xmlns:cdr="http://schemas.openxmlformats.org/drawingml/2006/chartDrawing">
    <cdr:from>
      <cdr:x>0.23053</cdr:x>
      <cdr:y>0.68679</cdr:y>
    </cdr:from>
    <cdr:to>
      <cdr:x>0.26949</cdr:x>
      <cdr:y>0.71887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F8569130-D273-4396-84F6-8881F34F8F01}"/>
            </a:ext>
          </a:extLst>
        </cdr:cNvPr>
        <cdr:cNvCxnSpPr/>
      </cdr:nvCxnSpPr>
      <cdr:spPr>
        <a:xfrm xmlns:a="http://schemas.openxmlformats.org/drawingml/2006/main">
          <a:off x="1470163" y="3014870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0.70929</cdr:x>
      <cdr:y>0.69704</cdr:y>
    </cdr:from>
    <cdr:to>
      <cdr:x>0.74435</cdr:x>
      <cdr:y>0.71638</cdr:y>
    </cdr:to>
    <cdr:cxnSp macro="">
      <cdr:nvCxnSpPr>
        <cdr:cNvPr id="29" name="Straight Arrow Connector 28">
          <a:extLst xmlns:a="http://schemas.openxmlformats.org/drawingml/2006/main">
            <a:ext uri="{FF2B5EF4-FFF2-40B4-BE49-F238E27FC236}">
              <a16:creationId xmlns:a16="http://schemas.microsoft.com/office/drawing/2014/main" id="{686DFFB7-5DA5-4464-8A0F-BD435FD693AB}"/>
            </a:ext>
          </a:extLst>
        </cdr:cNvPr>
        <cdr:cNvCxnSpPr/>
      </cdr:nvCxnSpPr>
      <cdr:spPr>
        <a:xfrm xmlns:a="http://schemas.openxmlformats.org/drawingml/2006/main" flipH="1">
          <a:off x="4523438" y="3059858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0.01186</cdr:x>
      <cdr:y>0.82082</cdr:y>
    </cdr:from>
    <cdr:to>
      <cdr:x>0.16948</cdr:x>
      <cdr:y>0.86914</cdr:y>
    </cdr:to>
    <cdr:sp macro="" textlink="">
      <cdr:nvSpPr>
        <cdr:cNvPr id="3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648" y="3603233"/>
          <a:ext cx="100523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orthopyroxenite</a:t>
          </a:r>
        </a:p>
      </cdr:txBody>
    </cdr:sp>
  </cdr:relSizeAnchor>
  <cdr:relSizeAnchor xmlns:cdr="http://schemas.openxmlformats.org/drawingml/2006/chartDrawing">
    <cdr:from>
      <cdr:x>0.1565</cdr:x>
      <cdr:y>0.85453</cdr:y>
    </cdr:from>
    <cdr:to>
      <cdr:x>0.19546</cdr:x>
      <cdr:y>0.88661</cdr:y>
    </cdr:to>
    <cdr:cxnSp macro="">
      <cdr:nvCxnSpPr>
        <cdr:cNvPr id="37" name="Straight Arrow Connector 36">
          <a:extLst xmlns:a="http://schemas.openxmlformats.org/drawingml/2006/main">
            <a:ext uri="{FF2B5EF4-FFF2-40B4-BE49-F238E27FC236}">
              <a16:creationId xmlns:a16="http://schemas.microsoft.com/office/drawing/2014/main" id="{9C18CEF9-A388-4ADF-ACCE-9800BE7E31E1}"/>
            </a:ext>
          </a:extLst>
        </cdr:cNvPr>
        <cdr:cNvCxnSpPr/>
      </cdr:nvCxnSpPr>
      <cdr:spPr>
        <a:xfrm xmlns:a="http://schemas.openxmlformats.org/drawingml/2006/main">
          <a:off x="998054" y="3751216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0.80621</cdr:x>
      <cdr:y>0.82837</cdr:y>
    </cdr:from>
    <cdr:to>
      <cdr:x>0.95911</cdr:x>
      <cdr:y>0.87669</cdr:y>
    </cdr:to>
    <cdr:sp macro="" textlink="">
      <cdr:nvSpPr>
        <cdr:cNvPr id="3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41553" y="3636364"/>
          <a:ext cx="97512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clinopyroxenite</a:t>
          </a:r>
        </a:p>
      </cdr:txBody>
    </cdr:sp>
  </cdr:relSizeAnchor>
  <cdr:relSizeAnchor xmlns:cdr="http://schemas.openxmlformats.org/drawingml/2006/chartDrawing">
    <cdr:from>
      <cdr:x>0.78071</cdr:x>
      <cdr:y>0.86528</cdr:y>
    </cdr:from>
    <cdr:to>
      <cdr:x>0.81577</cdr:x>
      <cdr:y>0.88462</cdr:y>
    </cdr:to>
    <cdr:cxnSp macro="">
      <cdr:nvCxnSpPr>
        <cdr:cNvPr id="39" name="Straight Arrow Connector 38">
          <a:extLst xmlns:a="http://schemas.openxmlformats.org/drawingml/2006/main">
            <a:ext uri="{FF2B5EF4-FFF2-40B4-BE49-F238E27FC236}">
              <a16:creationId xmlns:a16="http://schemas.microsoft.com/office/drawing/2014/main" id="{DBC680A5-CFC4-4DBB-B539-0091C4C78786}"/>
            </a:ext>
          </a:extLst>
        </cdr:cNvPr>
        <cdr:cNvCxnSpPr/>
      </cdr:nvCxnSpPr>
      <cdr:spPr>
        <a:xfrm xmlns:a="http://schemas.openxmlformats.org/drawingml/2006/main" flipH="1">
          <a:off x="4978952" y="37983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285751</xdr:colOff>
      <xdr:row>1</xdr:row>
      <xdr:rowOff>91109</xdr:rowOff>
    </xdr:from>
    <xdr:to>
      <xdr:col>32</xdr:col>
      <xdr:colOff>302155</xdr:colOff>
      <xdr:row>34</xdr:row>
      <xdr:rowOff>91110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0.09203</cdr:y>
    </cdr:from>
    <cdr:to>
      <cdr:x>0.52321</cdr:x>
      <cdr:y>0.15379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03992"/>
          <a:ext cx="465107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0.10016</cdr:x>
      <cdr:y>0.89941</cdr:y>
    </cdr:from>
    <cdr:to>
      <cdr:x>0.16359</cdr:x>
      <cdr:y>0.96117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8734" y="3948218"/>
          <a:ext cx="404534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0.82116</cdr:x>
      <cdr:y>0.90402</cdr:y>
    </cdr:from>
    <cdr:to>
      <cdr:x>0.87674</cdr:x>
      <cdr:y>0.96577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36907" y="3968437"/>
          <a:ext cx="354456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Hbl</a:t>
          </a:r>
        </a:p>
      </cdr:txBody>
    </cdr:sp>
  </cdr:relSizeAnchor>
  <cdr:relSizeAnchor xmlns:cdr="http://schemas.openxmlformats.org/drawingml/2006/chartDrawing">
    <cdr:from>
      <cdr:x>0.78331</cdr:x>
      <cdr:y>0.35319</cdr:y>
    </cdr:from>
    <cdr:to>
      <cdr:x>0.88639</cdr:x>
      <cdr:y>0.40151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95519" y="1550441"/>
          <a:ext cx="657387" cy="21211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0.76643</cdr:x>
      <cdr:y>0.70851</cdr:y>
    </cdr:from>
    <cdr:to>
      <cdr:x>0.91106</cdr:x>
      <cdr:y>0.82402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87860" y="3110218"/>
          <a:ext cx="922390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0.35131</cdr:x>
      <cdr:y>0.15966</cdr:y>
    </cdr:from>
    <cdr:to>
      <cdr:x>0.42014</cdr:x>
      <cdr:y>0.20798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0446" y="700876"/>
          <a:ext cx="43896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dunite</a:t>
          </a:r>
        </a:p>
      </cdr:txBody>
    </cdr:sp>
  </cdr:relSizeAnchor>
  <cdr:relSizeAnchor xmlns:cdr="http://schemas.openxmlformats.org/drawingml/2006/chartDrawing">
    <cdr:from>
      <cdr:x>0.24351</cdr:x>
      <cdr:y>0.32646</cdr:y>
    </cdr:from>
    <cdr:to>
      <cdr:x>0.3565</cdr:x>
      <cdr:y>0.40838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52993" y="1433093"/>
          <a:ext cx="720588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0.3807</cdr:x>
      <cdr:y>0.39401</cdr:y>
    </cdr:from>
    <cdr:to>
      <cdr:x>0.60326</cdr:x>
      <cdr:y>0.50951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27894" y="1729598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0.60149</cdr:x>
      <cdr:y>0.32785</cdr:y>
    </cdr:from>
    <cdr:to>
      <cdr:x>0.72664</cdr:x>
      <cdr:y>0.40976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35966" y="1439183"/>
          <a:ext cx="798137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4366B696-1084-40AA-96D0-A3891674AE76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31"/>
          <a:ext cx="438960" cy="6832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0.34222</cdr:x>
      <cdr:y>0.37925</cdr:y>
    </cdr:from>
    <cdr:to>
      <cdr:x>0.39546</cdr:x>
      <cdr:y>0.41863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A7D4CD74-9292-44D6-9AD8-F2F12FB26987}"/>
            </a:ext>
          </a:extLst>
        </cdr:cNvPr>
        <cdr:cNvCxnSpPr/>
      </cdr:nvCxnSpPr>
      <cdr:spPr>
        <a:xfrm xmlns:a="http://schemas.openxmlformats.org/drawingml/2006/main">
          <a:off x="2182468" y="1664804"/>
          <a:ext cx="339548" cy="17291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0.58119</cdr:x>
      <cdr:y>0.39477</cdr:y>
    </cdr:from>
    <cdr:to>
      <cdr:x>0.61625</cdr:x>
      <cdr:y>0.41411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1B347EB6-A0A7-4280-8552-7BBAE8A4CF66}"/>
            </a:ext>
          </a:extLst>
        </cdr:cNvPr>
        <cdr:cNvCxnSpPr/>
      </cdr:nvCxnSpPr>
      <cdr:spPr>
        <a:xfrm xmlns:a="http://schemas.openxmlformats.org/drawingml/2006/main" flipH="1">
          <a:off x="3706496" y="1732942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0.26382</cdr:x>
      <cdr:y>0.68175</cdr:y>
    </cdr:from>
    <cdr:to>
      <cdr:x>0.48638</cdr:x>
      <cdr:y>0.79726</cdr:y>
    </cdr:to>
    <cdr:sp macro="" textlink="">
      <cdr:nvSpPr>
        <cdr:cNvPr id="2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82499" y="2992741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0.08589</cdr:x>
      <cdr:y>0.61742</cdr:y>
    </cdr:from>
    <cdr:to>
      <cdr:x>0.24351</cdr:x>
      <cdr:y>0.69933</cdr:y>
    </cdr:to>
    <cdr:sp macro="" textlink="">
      <cdr:nvSpPr>
        <cdr:cNvPr id="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7757" y="2710323"/>
          <a:ext cx="100523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pyroxenite</a:t>
          </a:r>
        </a:p>
      </cdr:txBody>
    </cdr:sp>
  </cdr:relSizeAnchor>
  <cdr:relSizeAnchor xmlns:cdr="http://schemas.openxmlformats.org/drawingml/2006/chartDrawing">
    <cdr:from>
      <cdr:x>0.73089</cdr:x>
      <cdr:y>0.62258</cdr:y>
    </cdr:from>
    <cdr:to>
      <cdr:x>0.88379</cdr:x>
      <cdr:y>0.70449</cdr:y>
    </cdr:to>
    <cdr:sp macro="" textlink="">
      <cdr:nvSpPr>
        <cdr:cNvPr id="2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61213" y="2732982"/>
          <a:ext cx="97511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hornblendite</a:t>
          </a:r>
        </a:p>
      </cdr:txBody>
    </cdr:sp>
  </cdr:relSizeAnchor>
  <cdr:relSizeAnchor xmlns:cdr="http://schemas.openxmlformats.org/drawingml/2006/chartDrawing">
    <cdr:from>
      <cdr:x>0.23053</cdr:x>
      <cdr:y>0.68679</cdr:y>
    </cdr:from>
    <cdr:to>
      <cdr:x>0.26949</cdr:x>
      <cdr:y>0.71887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DEF2C277-BD0F-436E-9458-C6F1D76ED4D1}"/>
            </a:ext>
          </a:extLst>
        </cdr:cNvPr>
        <cdr:cNvCxnSpPr/>
      </cdr:nvCxnSpPr>
      <cdr:spPr>
        <a:xfrm xmlns:a="http://schemas.openxmlformats.org/drawingml/2006/main">
          <a:off x="1470163" y="3014870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0.70929</cdr:x>
      <cdr:y>0.69704</cdr:y>
    </cdr:from>
    <cdr:to>
      <cdr:x>0.74435</cdr:x>
      <cdr:y>0.71638</cdr:y>
    </cdr:to>
    <cdr:cxnSp macro="">
      <cdr:nvCxnSpPr>
        <cdr:cNvPr id="29" name="Straight Arrow Connector 28">
          <a:extLst xmlns:a="http://schemas.openxmlformats.org/drawingml/2006/main">
            <a:ext uri="{FF2B5EF4-FFF2-40B4-BE49-F238E27FC236}">
              <a16:creationId xmlns:a16="http://schemas.microsoft.com/office/drawing/2014/main" id="{8D03B2A0-C54D-4CBD-9970-34BF54382832}"/>
            </a:ext>
          </a:extLst>
        </cdr:cNvPr>
        <cdr:cNvCxnSpPr/>
      </cdr:nvCxnSpPr>
      <cdr:spPr>
        <a:xfrm xmlns:a="http://schemas.openxmlformats.org/drawingml/2006/main" flipH="1">
          <a:off x="4523438" y="3059858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0.01186</cdr:x>
      <cdr:y>0.82082</cdr:y>
    </cdr:from>
    <cdr:to>
      <cdr:x>0.16948</cdr:x>
      <cdr:y>0.86914</cdr:y>
    </cdr:to>
    <cdr:sp macro="" textlink="">
      <cdr:nvSpPr>
        <cdr:cNvPr id="3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648" y="3603233"/>
          <a:ext cx="100523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0.1565</cdr:x>
      <cdr:y>0.85453</cdr:y>
    </cdr:from>
    <cdr:to>
      <cdr:x>0.19546</cdr:x>
      <cdr:y>0.88661</cdr:y>
    </cdr:to>
    <cdr:cxnSp macro="">
      <cdr:nvCxnSpPr>
        <cdr:cNvPr id="37" name="Straight Arrow Connector 36">
          <a:extLst xmlns:a="http://schemas.openxmlformats.org/drawingml/2006/main">
            <a:ext uri="{FF2B5EF4-FFF2-40B4-BE49-F238E27FC236}">
              <a16:creationId xmlns:a16="http://schemas.microsoft.com/office/drawing/2014/main" id="{55368522-CF99-42EF-B855-64456C15347D}"/>
            </a:ext>
          </a:extLst>
        </cdr:cNvPr>
        <cdr:cNvCxnSpPr/>
      </cdr:nvCxnSpPr>
      <cdr:spPr>
        <a:xfrm xmlns:a="http://schemas.openxmlformats.org/drawingml/2006/main">
          <a:off x="998054" y="3751216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0.80621</cdr:x>
      <cdr:y>0.82837</cdr:y>
    </cdr:from>
    <cdr:to>
      <cdr:x>0.95911</cdr:x>
      <cdr:y>0.87669</cdr:y>
    </cdr:to>
    <cdr:sp macro="" textlink="">
      <cdr:nvSpPr>
        <cdr:cNvPr id="3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41553" y="3636364"/>
          <a:ext cx="97512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0.78071</cdr:x>
      <cdr:y>0.86528</cdr:y>
    </cdr:from>
    <cdr:to>
      <cdr:x>0.81577</cdr:x>
      <cdr:y>0.88462</cdr:y>
    </cdr:to>
    <cdr:cxnSp macro="">
      <cdr:nvCxnSpPr>
        <cdr:cNvPr id="39" name="Straight Arrow Connector 38">
          <a:extLst xmlns:a="http://schemas.openxmlformats.org/drawingml/2006/main">
            <a:ext uri="{FF2B5EF4-FFF2-40B4-BE49-F238E27FC236}">
              <a16:creationId xmlns:a16="http://schemas.microsoft.com/office/drawing/2014/main" id="{18D969EB-9D6A-42A7-A6F9-B6B1C5733804}"/>
            </a:ext>
          </a:extLst>
        </cdr:cNvPr>
        <cdr:cNvCxnSpPr/>
      </cdr:nvCxnSpPr>
      <cdr:spPr>
        <a:xfrm xmlns:a="http://schemas.openxmlformats.org/drawingml/2006/main" flipH="1">
          <a:off x="4978952" y="37983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0.49109</cdr:x>
      <cdr:y>0.68327</cdr:y>
    </cdr:from>
    <cdr:to>
      <cdr:x>0.71365</cdr:x>
      <cdr:y>0.79878</cdr:y>
    </cdr:to>
    <cdr:sp macro="" textlink="">
      <cdr:nvSpPr>
        <cdr:cNvPr id="3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131930" y="2999408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0.22875</cdr:x>
      <cdr:y>0.91809</cdr:y>
    </cdr:from>
    <cdr:to>
      <cdr:x>0.45131</cdr:x>
      <cdr:y>1</cdr:y>
    </cdr:to>
    <cdr:sp macro="" textlink="">
      <cdr:nvSpPr>
        <cdr:cNvPr id="3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58844" y="4030197"/>
          <a:ext cx="141936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0.51577</cdr:x>
      <cdr:y>0.91809</cdr:y>
    </cdr:from>
    <cdr:to>
      <cdr:x>0.73833</cdr:x>
      <cdr:y>1</cdr:y>
    </cdr:to>
    <cdr:sp macro="" textlink="">
      <cdr:nvSpPr>
        <cdr:cNvPr id="3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89300" y="4030197"/>
          <a:ext cx="141936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0.33313</cdr:x>
      <cdr:y>0.88113</cdr:y>
    </cdr:from>
    <cdr:to>
      <cdr:x>0.34003</cdr:x>
      <cdr:y>0.91809</cdr:y>
    </cdr:to>
    <cdr:cxnSp macro="">
      <cdr:nvCxnSpPr>
        <cdr:cNvPr id="34" name="Straight Arrow Connector 33">
          <a:extLst xmlns:a="http://schemas.openxmlformats.org/drawingml/2006/main">
            <a:ext uri="{FF2B5EF4-FFF2-40B4-BE49-F238E27FC236}">
              <a16:creationId xmlns:a16="http://schemas.microsoft.com/office/drawing/2014/main" id="{50E4C938-7C33-459F-97EA-8F3A225422EB}"/>
            </a:ext>
          </a:extLst>
        </cdr:cNvPr>
        <cdr:cNvCxnSpPr>
          <a:stCxn xmlns:a="http://schemas.openxmlformats.org/drawingml/2006/main" id="32" idx="0"/>
        </cdr:cNvCxnSpPr>
      </cdr:nvCxnSpPr>
      <cdr:spPr>
        <a:xfrm xmlns:a="http://schemas.openxmlformats.org/drawingml/2006/main" flipH="1" flipV="1">
          <a:off x="2124490" y="3867978"/>
          <a:ext cx="44037" cy="16221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0.62705</cdr:x>
      <cdr:y>0.88113</cdr:y>
    </cdr:from>
    <cdr:to>
      <cdr:x>0.63183</cdr:x>
      <cdr:y>0.91809</cdr:y>
    </cdr:to>
    <cdr:cxnSp macro="">
      <cdr:nvCxnSpPr>
        <cdr:cNvPr id="35" name="Straight Arrow Connector 34">
          <a:extLst xmlns:a="http://schemas.openxmlformats.org/drawingml/2006/main">
            <a:ext uri="{FF2B5EF4-FFF2-40B4-BE49-F238E27FC236}">
              <a16:creationId xmlns:a16="http://schemas.microsoft.com/office/drawing/2014/main" id="{E63B28F9-8E7D-41DA-BAEF-6C188ED5568C}"/>
            </a:ext>
          </a:extLst>
        </cdr:cNvPr>
        <cdr:cNvCxnSpPr>
          <a:stCxn xmlns:a="http://schemas.openxmlformats.org/drawingml/2006/main" id="33" idx="0"/>
        </cdr:cNvCxnSpPr>
      </cdr:nvCxnSpPr>
      <cdr:spPr>
        <a:xfrm xmlns:a="http://schemas.openxmlformats.org/drawingml/2006/main" flipV="1">
          <a:off x="3998983" y="3867978"/>
          <a:ext cx="30507" cy="16221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Tab" displayName="ProjTab" ref="A1:A2" totalsRowShown="0" headerRowDxfId="72" dataDxfId="71">
  <tableColumns count="1">
    <tableColumn id="1" xr3:uid="{00000000-0010-0000-0000-000001000000}" name="Projeto" dataDxfId="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sureg" displayName="sureg" ref="F1:F16" totalsRowShown="0" headerRowDxfId="69" dataDxfId="67" headerRowBorderDxfId="68" tableBorderDxfId="66" totalsRowBorderDxfId="65">
  <autoFilter ref="F1:F16" xr:uid="{00000000-0009-0000-0100-000005000000}"/>
  <tableColumns count="1">
    <tableColumn id="1" xr3:uid="{00000000-0010-0000-0100-000001000000}" name="SUREG" dataDxfId="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MineralTab" displayName="MineralTab" ref="G1:G784" totalsRowShown="0" headerRowDxfId="63" dataDxfId="62">
  <autoFilter ref="G1:G784" xr:uid="{00000000-0009-0000-0100-000006000000}"/>
  <sortState xmlns:xlrd2="http://schemas.microsoft.com/office/spreadsheetml/2017/richdata2" ref="G2:G784">
    <sortCondition ref="G1:G784"/>
  </sortState>
  <tableColumns count="1">
    <tableColumn id="1" xr3:uid="{00000000-0010-0000-0200-000001000000}" name="Minerais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iposRochaPet" displayName="tiposRochaPet" ref="I1:I1095" totalsRowShown="0" headerRowDxfId="60" dataDxfId="58" headerRowBorderDxfId="59" tableBorderDxfId="57" totalsRowBorderDxfId="56">
  <autoFilter ref="I1:I1095" xr:uid="{00000000-0009-0000-0100-00000E000000}"/>
  <tableColumns count="1">
    <tableColumn id="1" xr3:uid="{00000000-0010-0000-0300-000001000000}" name="DESC_ROCHA" dataDxfId="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texturaMicro" displayName="texturaMicro" ref="J1:J461" totalsRowShown="0" headerRowDxfId="54" dataDxfId="52" headerRowBorderDxfId="53" tableBorderDxfId="51">
  <autoFilter ref="J1:J461" xr:uid="{00000000-0009-0000-0100-00000F000000}"/>
  <tableColumns count="1">
    <tableColumn id="1" xr3:uid="{00000000-0010-0000-0400-000001000000}" name="DES_TEXTURA_MICRO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estrutMicro" displayName="estrutMicro" ref="L1:L58" totalsRowShown="0" headerRowDxfId="49" dataDxfId="47" headerRowBorderDxfId="48" tableBorderDxfId="46" totalsRowBorderDxfId="45">
  <autoFilter ref="L1:L58" xr:uid="{00000000-0009-0000-0100-000010000000}"/>
  <tableColumns count="1">
    <tableColumn id="1" xr3:uid="{00000000-0010-0000-0500-000001000000}" name="DES_ESTRUTURA_MICRO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6000000}" name="estrutDef" displayName="estrutDef" ref="M1:M108" totalsRowShown="0" headerRowDxfId="43" dataDxfId="41" headerRowBorderDxfId="42" tableBorderDxfId="40" totalsRowBorderDxfId="39">
  <autoFilter ref="M1:M108" xr:uid="{00000000-0009-0000-0100-000011000000}"/>
  <tableColumns count="1">
    <tableColumn id="1" xr3:uid="{00000000-0010-0000-0600-000001000000}" name="DES_ESTR_DEFORMACIONAL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7000000}" name="alteracaoMicro" displayName="alteracaoMicro" ref="N1:N21" totalsRowShown="0" headerRowDxfId="37" dataDxfId="35" headerRowBorderDxfId="36" tableBorderDxfId="34">
  <autoFilter ref="N1:N21" xr:uid="{00000000-0009-0000-0100-000012000000}"/>
  <tableColumns count="1">
    <tableColumn id="1" xr3:uid="{00000000-0010-0000-0700-000001000000}" name="TIPO_ALTERACAO" dataDxf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8000000}" name="metaMicro" displayName="metaMicro" ref="O1:O6" totalsRowShown="0" headerRowDxfId="32" dataDxfId="30" headerRowBorderDxfId="31" tableBorderDxfId="29" totalsRowBorderDxfId="28">
  <autoFilter ref="O1:O6" xr:uid="{00000000-0009-0000-0100-000013000000}"/>
  <tableColumns count="1">
    <tableColumn id="1" xr3:uid="{00000000-0010-0000-0800-000001000000}" name="TIPO_METAMORF" dataDxfId="2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9000000}" name="faciesMetaMicro" displayName="faciesMetaMicro" ref="P1:P13" totalsRowShown="0" headerRowDxfId="26" dataDxfId="24" headerRowBorderDxfId="25" tableBorderDxfId="23" totalsRowBorderDxfId="22">
  <autoFilter ref="P1:P13" xr:uid="{00000000-0009-0000-0100-000014000000}"/>
  <tableColumns count="1">
    <tableColumn id="1" xr3:uid="{00000000-0010-0000-0900-000001000000}" name="FACEIS_METAMORFISMO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A000000}" name="PetrografoTab" displayName="PetrografoTab" ref="B1:B7" totalsRowShown="0" headerRowDxfId="20" dataDxfId="18" headerRowBorderDxfId="19" tableBorderDxfId="17" totalsRowBorderDxfId="16">
  <autoFilter ref="B1:B7" xr:uid="{00000000-0009-0000-0100-000015000000}"/>
  <tableColumns count="1">
    <tableColumn id="1" xr3:uid="{00000000-0010-0000-0A00-000001000000}" name="Petrografos" dataDxfId="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B000000}" name="estratTab" displayName="estratTab" ref="C1:D18" totalsRowShown="0" headerRowDxfId="14" dataDxfId="13">
  <sortState xmlns:xlrd2="http://schemas.microsoft.com/office/spreadsheetml/2017/richdata2" ref="C2:D18">
    <sortCondition ref="D2"/>
  </sortState>
  <tableColumns count="2">
    <tableColumn id="1" xr3:uid="{00000000-0010-0000-0B00-000001000000}" name="UNIDADE ESTRATIGRÁFICA" dataDxfId="12"/>
    <tableColumn id="2" xr3:uid="{00000000-0010-0000-0B00-000002000000}" name="CÓDIGO ESTRATIGRÁFICO" dataDxfId="11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PsTab" displayName="TPsTab" ref="E1:E4" totalsRowShown="0" headerRowDxfId="10" dataDxfId="8" headerRowBorderDxfId="9" tableBorderDxfId="7">
  <autoFilter ref="E1:E4" xr:uid="{00000000-0009-0000-0100-000004000000}"/>
  <tableColumns count="1">
    <tableColumn id="1" xr3:uid="{00000000-0010-0000-0C00-000001000000}" name="DES_TP_SECAO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CorTab" displayName="CorTab" ref="H1:H47" totalsRowShown="0" headerRowDxfId="5" dataDxfId="3" headerRowBorderDxfId="4" tableBorderDxfId="2" totalsRowBorderDxfId="1" headerRowCellStyle="Normal_Planilha2" dataCellStyle="Normal_Planilha2">
  <autoFilter ref="H1:H47" xr:uid="{00000000-0009-0000-0100-000002000000}"/>
  <tableColumns count="1">
    <tableColumn id="1" xr3:uid="{00000000-0010-0000-0D00-000001000000}" name="DES_TIPO_COR" dataDxfId="0" dataCellStyle="Normal_Planilh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P1095"/>
  <sheetViews>
    <sheetView workbookViewId="0">
      <selection activeCell="B22" sqref="B22"/>
    </sheetView>
  </sheetViews>
  <sheetFormatPr defaultRowHeight="14.4" x14ac:dyDescent="0.3"/>
  <cols>
    <col min="1" max="1" width="9.109375" style="29"/>
    <col min="2" max="2" width="30.6640625" style="29" bestFit="1" customWidth="1"/>
    <col min="3" max="3" width="36.6640625" style="29" bestFit="1" customWidth="1"/>
    <col min="4" max="4" width="24.109375" style="29" bestFit="1" customWidth="1"/>
    <col min="5" max="5" width="19" bestFit="1" customWidth="1"/>
    <col min="6" max="6" width="11.33203125" customWidth="1"/>
    <col min="7" max="7" width="15.88671875" customWidth="1"/>
    <col min="8" max="8" width="16.33203125" customWidth="1"/>
    <col min="9" max="9" width="60.33203125" bestFit="1" customWidth="1"/>
    <col min="10" max="10" width="60.44140625" bestFit="1" customWidth="1"/>
    <col min="12" max="12" width="49.88671875" bestFit="1" customWidth="1"/>
    <col min="13" max="13" width="52.5546875" bestFit="1" customWidth="1"/>
    <col min="14" max="14" width="21.33203125" bestFit="1" customWidth="1"/>
    <col min="15" max="15" width="23.6640625" bestFit="1" customWidth="1"/>
    <col min="16" max="16" width="30" bestFit="1" customWidth="1"/>
    <col min="17" max="17" width="36.6640625" bestFit="1" customWidth="1"/>
    <col min="18" max="18" width="24.109375" bestFit="1" customWidth="1"/>
  </cols>
  <sheetData>
    <row r="1" spans="1:16" s="1" customFormat="1" x14ac:dyDescent="0.3">
      <c r="A1" s="27" t="s">
        <v>11</v>
      </c>
      <c r="B1" s="28" t="s">
        <v>2573</v>
      </c>
      <c r="C1" s="29" t="s">
        <v>2608</v>
      </c>
      <c r="D1" s="29" t="s">
        <v>2609</v>
      </c>
      <c r="E1" s="2" t="s">
        <v>41</v>
      </c>
      <c r="F1" s="6" t="s">
        <v>36</v>
      </c>
      <c r="G1" s="1" t="s">
        <v>59</v>
      </c>
      <c r="H1" s="23" t="s">
        <v>2610</v>
      </c>
      <c r="I1" s="6" t="s">
        <v>830</v>
      </c>
      <c r="J1" s="9" t="s">
        <v>831</v>
      </c>
      <c r="K1" s="21"/>
      <c r="L1" s="10" t="s">
        <v>832</v>
      </c>
      <c r="M1" s="10" t="s">
        <v>833</v>
      </c>
      <c r="N1" s="9" t="s">
        <v>834</v>
      </c>
      <c r="O1" s="10" t="s">
        <v>835</v>
      </c>
      <c r="P1" s="10" t="s">
        <v>836</v>
      </c>
    </row>
    <row r="2" spans="1:16" x14ac:dyDescent="0.3">
      <c r="A2" s="97" t="s">
        <v>2689</v>
      </c>
      <c r="B2" s="31" t="s">
        <v>2687</v>
      </c>
      <c r="C2" s="29" t="s">
        <v>2574</v>
      </c>
      <c r="D2" s="32" t="s">
        <v>2575</v>
      </c>
      <c r="E2" s="3" t="s">
        <v>42</v>
      </c>
      <c r="F2" s="7" t="s">
        <v>45</v>
      </c>
      <c r="G2" t="s">
        <v>60</v>
      </c>
      <c r="H2" s="22" t="s">
        <v>2611</v>
      </c>
      <c r="I2" s="12" t="s">
        <v>837</v>
      </c>
      <c r="J2" s="13" t="s">
        <v>838</v>
      </c>
      <c r="K2" s="11"/>
      <c r="L2" s="14" t="s">
        <v>839</v>
      </c>
      <c r="M2" s="14" t="s">
        <v>840</v>
      </c>
      <c r="N2" s="13" t="s">
        <v>841</v>
      </c>
      <c r="O2" s="14" t="s">
        <v>842</v>
      </c>
      <c r="P2" s="14" t="s">
        <v>849</v>
      </c>
    </row>
    <row r="3" spans="1:16" x14ac:dyDescent="0.3">
      <c r="A3" s="30" t="s">
        <v>2688</v>
      </c>
      <c r="B3" s="31" t="s">
        <v>2690</v>
      </c>
      <c r="C3" s="29" t="s">
        <v>2576</v>
      </c>
      <c r="D3" s="32" t="s">
        <v>2577</v>
      </c>
      <c r="E3" s="4" t="s">
        <v>43</v>
      </c>
      <c r="F3" s="7" t="s">
        <v>46</v>
      </c>
      <c r="G3" t="s">
        <v>61</v>
      </c>
      <c r="H3" s="22" t="s">
        <v>2612</v>
      </c>
      <c r="I3" s="12" t="s">
        <v>843</v>
      </c>
      <c r="J3" s="15" t="s">
        <v>844</v>
      </c>
      <c r="K3" s="11"/>
      <c r="L3" s="14" t="s">
        <v>845</v>
      </c>
      <c r="M3" s="14" t="s">
        <v>846</v>
      </c>
      <c r="N3" s="15" t="s">
        <v>847</v>
      </c>
      <c r="O3" s="14" t="s">
        <v>848</v>
      </c>
      <c r="P3" s="25" t="s">
        <v>856</v>
      </c>
    </row>
    <row r="4" spans="1:16" x14ac:dyDescent="0.3">
      <c r="A4" s="97"/>
      <c r="B4" s="31" t="s">
        <v>38</v>
      </c>
      <c r="C4" s="29" t="s">
        <v>2578</v>
      </c>
      <c r="D4" s="32" t="s">
        <v>2579</v>
      </c>
      <c r="E4" s="5" t="s">
        <v>44</v>
      </c>
      <c r="F4" s="7" t="s">
        <v>47</v>
      </c>
      <c r="G4" t="s">
        <v>62</v>
      </c>
      <c r="H4" s="22" t="s">
        <v>2613</v>
      </c>
      <c r="I4" s="12" t="s">
        <v>850</v>
      </c>
      <c r="J4" s="15" t="s">
        <v>851</v>
      </c>
      <c r="K4" s="11"/>
      <c r="L4" s="14" t="s">
        <v>852</v>
      </c>
      <c r="M4" s="14" t="s">
        <v>853</v>
      </c>
      <c r="N4" s="15" t="s">
        <v>854</v>
      </c>
      <c r="O4" s="14" t="s">
        <v>855</v>
      </c>
      <c r="P4" s="25" t="s">
        <v>863</v>
      </c>
    </row>
    <row r="5" spans="1:16" x14ac:dyDescent="0.3">
      <c r="B5" s="33" t="s">
        <v>39</v>
      </c>
      <c r="C5" s="29" t="s">
        <v>2580</v>
      </c>
      <c r="D5" s="32" t="s">
        <v>2581</v>
      </c>
      <c r="F5" s="7" t="s">
        <v>48</v>
      </c>
      <c r="G5" t="s">
        <v>63</v>
      </c>
      <c r="H5" s="22" t="s">
        <v>2614</v>
      </c>
      <c r="I5" s="12" t="s">
        <v>857</v>
      </c>
      <c r="J5" s="15" t="s">
        <v>858</v>
      </c>
      <c r="K5" s="11"/>
      <c r="L5" s="14" t="s">
        <v>859</v>
      </c>
      <c r="M5" s="14" t="s">
        <v>860</v>
      </c>
      <c r="N5" s="15" t="s">
        <v>861</v>
      </c>
      <c r="O5" s="14" t="s">
        <v>862</v>
      </c>
      <c r="P5" s="25" t="s">
        <v>870</v>
      </c>
    </row>
    <row r="6" spans="1:16" x14ac:dyDescent="0.3">
      <c r="B6" s="31" t="s">
        <v>40</v>
      </c>
      <c r="C6" s="29" t="s">
        <v>2582</v>
      </c>
      <c r="D6" s="32" t="s">
        <v>2583</v>
      </c>
      <c r="F6" s="7" t="s">
        <v>37</v>
      </c>
      <c r="G6" t="s">
        <v>64</v>
      </c>
      <c r="H6" s="22" t="s">
        <v>2615</v>
      </c>
      <c r="I6" s="12" t="s">
        <v>864</v>
      </c>
      <c r="J6" s="15" t="s">
        <v>865</v>
      </c>
      <c r="K6" s="11"/>
      <c r="L6" s="14" t="s">
        <v>866</v>
      </c>
      <c r="M6" s="14" t="s">
        <v>867</v>
      </c>
      <c r="N6" s="15" t="s">
        <v>868</v>
      </c>
      <c r="O6" s="16" t="s">
        <v>869</v>
      </c>
      <c r="P6" s="25" t="s">
        <v>876</v>
      </c>
    </row>
    <row r="7" spans="1:16" x14ac:dyDescent="0.3">
      <c r="B7" s="34" t="s">
        <v>2686</v>
      </c>
      <c r="C7" s="29" t="s">
        <v>2584</v>
      </c>
      <c r="D7" s="32" t="s">
        <v>2585</v>
      </c>
      <c r="F7" s="7" t="s">
        <v>49</v>
      </c>
      <c r="G7" t="s">
        <v>65</v>
      </c>
      <c r="H7" s="22" t="s">
        <v>2616</v>
      </c>
      <c r="I7" s="12" t="s">
        <v>871</v>
      </c>
      <c r="J7" s="15" t="s">
        <v>872</v>
      </c>
      <c r="K7" s="11"/>
      <c r="L7" s="14" t="s">
        <v>873</v>
      </c>
      <c r="M7" s="14" t="s">
        <v>874</v>
      </c>
      <c r="N7" s="15" t="s">
        <v>875</v>
      </c>
      <c r="O7" s="11"/>
      <c r="P7" s="25" t="s">
        <v>882</v>
      </c>
    </row>
    <row r="8" spans="1:16" x14ac:dyDescent="0.3">
      <c r="B8" s="31" t="s">
        <v>2690</v>
      </c>
      <c r="C8" s="29" t="s">
        <v>2586</v>
      </c>
      <c r="D8" s="32" t="s">
        <v>2587</v>
      </c>
      <c r="F8" s="7" t="s">
        <v>50</v>
      </c>
      <c r="G8" t="s">
        <v>66</v>
      </c>
      <c r="H8" s="22" t="s">
        <v>2617</v>
      </c>
      <c r="I8" s="12" t="s">
        <v>877</v>
      </c>
      <c r="J8" s="15" t="s">
        <v>878</v>
      </c>
      <c r="K8" s="11"/>
      <c r="L8" s="14" t="s">
        <v>879</v>
      </c>
      <c r="M8" s="14" t="s">
        <v>880</v>
      </c>
      <c r="N8" s="15" t="s">
        <v>881</v>
      </c>
      <c r="O8" s="11"/>
      <c r="P8" s="25" t="s">
        <v>887</v>
      </c>
    </row>
    <row r="9" spans="1:16" x14ac:dyDescent="0.3">
      <c r="C9" s="29" t="s">
        <v>2588</v>
      </c>
      <c r="D9" s="32" t="s">
        <v>2589</v>
      </c>
      <c r="F9" s="7" t="s">
        <v>51</v>
      </c>
      <c r="G9" t="s">
        <v>67</v>
      </c>
      <c r="H9" s="22" t="s">
        <v>2618</v>
      </c>
      <c r="I9" s="12" t="s">
        <v>883</v>
      </c>
      <c r="J9" s="15" t="s">
        <v>884</v>
      </c>
      <c r="K9" s="11"/>
      <c r="L9" s="14" t="s">
        <v>860</v>
      </c>
      <c r="M9" s="14" t="s">
        <v>885</v>
      </c>
      <c r="N9" s="15" t="s">
        <v>886</v>
      </c>
      <c r="O9" s="11"/>
      <c r="P9" s="25" t="s">
        <v>893</v>
      </c>
    </row>
    <row r="10" spans="1:16" x14ac:dyDescent="0.3">
      <c r="C10" s="29" t="s">
        <v>2590</v>
      </c>
      <c r="D10" s="32" t="s">
        <v>2591</v>
      </c>
      <c r="F10" s="7" t="s">
        <v>52</v>
      </c>
      <c r="G10" t="s">
        <v>68</v>
      </c>
      <c r="H10" s="22" t="s">
        <v>2619</v>
      </c>
      <c r="I10" s="12" t="s">
        <v>888</v>
      </c>
      <c r="J10" s="15" t="s">
        <v>889</v>
      </c>
      <c r="K10" s="11"/>
      <c r="L10" s="14" t="s">
        <v>890</v>
      </c>
      <c r="M10" s="14" t="s">
        <v>891</v>
      </c>
      <c r="N10" s="15" t="s">
        <v>892</v>
      </c>
      <c r="O10" s="11"/>
      <c r="P10" s="25" t="s">
        <v>899</v>
      </c>
    </row>
    <row r="11" spans="1:16" x14ac:dyDescent="0.3">
      <c r="C11" s="29" t="s">
        <v>2592</v>
      </c>
      <c r="D11" s="32" t="s">
        <v>2593</v>
      </c>
      <c r="F11" s="7" t="s">
        <v>53</v>
      </c>
      <c r="G11" t="s">
        <v>69</v>
      </c>
      <c r="H11" s="22" t="s">
        <v>2620</v>
      </c>
      <c r="I11" s="12" t="s">
        <v>894</v>
      </c>
      <c r="J11" s="15" t="s">
        <v>895</v>
      </c>
      <c r="K11" s="11"/>
      <c r="L11" s="14" t="s">
        <v>896</v>
      </c>
      <c r="M11" s="14" t="s">
        <v>897</v>
      </c>
      <c r="N11" s="15" t="s">
        <v>898</v>
      </c>
      <c r="O11" s="11"/>
      <c r="P11" s="25" t="s">
        <v>905</v>
      </c>
    </row>
    <row r="12" spans="1:16" x14ac:dyDescent="0.3">
      <c r="C12" s="29" t="s">
        <v>2594</v>
      </c>
      <c r="D12" s="32" t="s">
        <v>2595</v>
      </c>
      <c r="F12" s="7" t="s">
        <v>54</v>
      </c>
      <c r="G12" t="s">
        <v>70</v>
      </c>
      <c r="H12" s="22" t="s">
        <v>2621</v>
      </c>
      <c r="I12" s="12" t="s">
        <v>900</v>
      </c>
      <c r="J12" s="15" t="s">
        <v>901</v>
      </c>
      <c r="K12" s="11"/>
      <c r="L12" s="14" t="s">
        <v>902</v>
      </c>
      <c r="M12" s="14" t="s">
        <v>903</v>
      </c>
      <c r="N12" s="15" t="s">
        <v>904</v>
      </c>
      <c r="O12" s="11"/>
      <c r="P12" s="25" t="s">
        <v>911</v>
      </c>
    </row>
    <row r="13" spans="1:16" x14ac:dyDescent="0.3">
      <c r="C13" s="29" t="s">
        <v>2596</v>
      </c>
      <c r="D13" s="32" t="s">
        <v>2597</v>
      </c>
      <c r="F13" s="7" t="s">
        <v>55</v>
      </c>
      <c r="G13" t="s">
        <v>71</v>
      </c>
      <c r="H13" s="22" t="s">
        <v>2622</v>
      </c>
      <c r="I13" s="12" t="s">
        <v>906</v>
      </c>
      <c r="J13" s="15" t="s">
        <v>907</v>
      </c>
      <c r="K13" s="11"/>
      <c r="L13" s="14" t="s">
        <v>908</v>
      </c>
      <c r="M13" s="14" t="s">
        <v>909</v>
      </c>
      <c r="N13" s="15" t="s">
        <v>910</v>
      </c>
      <c r="O13" s="11"/>
      <c r="P13" s="26"/>
    </row>
    <row r="14" spans="1:16" x14ac:dyDescent="0.3">
      <c r="C14" s="29" t="s">
        <v>2598</v>
      </c>
      <c r="D14" s="32" t="s">
        <v>2599</v>
      </c>
      <c r="F14" s="7" t="s">
        <v>56</v>
      </c>
      <c r="G14" t="s">
        <v>72</v>
      </c>
      <c r="H14" s="22" t="s">
        <v>2623</v>
      </c>
      <c r="I14" s="12" t="s">
        <v>912</v>
      </c>
      <c r="J14" s="15" t="s">
        <v>913</v>
      </c>
      <c r="K14" s="11"/>
      <c r="L14" s="14" t="s">
        <v>914</v>
      </c>
      <c r="M14" s="14" t="s">
        <v>915</v>
      </c>
      <c r="N14" s="15" t="s">
        <v>916</v>
      </c>
      <c r="O14" s="11"/>
      <c r="P14" s="11"/>
    </row>
    <row r="15" spans="1:16" x14ac:dyDescent="0.3">
      <c r="C15" s="29" t="s">
        <v>2600</v>
      </c>
      <c r="D15" s="32" t="s">
        <v>2601</v>
      </c>
      <c r="F15" s="7" t="s">
        <v>57</v>
      </c>
      <c r="G15" t="s">
        <v>73</v>
      </c>
      <c r="H15" s="22" t="s">
        <v>2624</v>
      </c>
      <c r="I15" s="12" t="s">
        <v>917</v>
      </c>
      <c r="J15" s="15" t="s">
        <v>918</v>
      </c>
      <c r="K15" s="11"/>
      <c r="L15" s="14" t="s">
        <v>914</v>
      </c>
      <c r="M15" s="14" t="s">
        <v>919</v>
      </c>
      <c r="N15" s="15" t="s">
        <v>920</v>
      </c>
      <c r="O15" s="11"/>
      <c r="P15" s="11"/>
    </row>
    <row r="16" spans="1:16" x14ac:dyDescent="0.3">
      <c r="C16" s="29" t="s">
        <v>2602</v>
      </c>
      <c r="D16" s="32" t="s">
        <v>2603</v>
      </c>
      <c r="F16" s="8" t="s">
        <v>58</v>
      </c>
      <c r="G16" t="s">
        <v>74</v>
      </c>
      <c r="H16" s="22" t="s">
        <v>2625</v>
      </c>
      <c r="I16" s="12" t="s">
        <v>921</v>
      </c>
      <c r="J16" s="15" t="s">
        <v>922</v>
      </c>
      <c r="K16" s="11"/>
      <c r="L16" s="14" t="s">
        <v>923</v>
      </c>
      <c r="M16" s="14" t="s">
        <v>924</v>
      </c>
      <c r="N16" s="15" t="s">
        <v>925</v>
      </c>
      <c r="O16" s="11"/>
      <c r="P16" s="11"/>
    </row>
    <row r="17" spans="3:16" x14ac:dyDescent="0.3">
      <c r="C17" s="29" t="s">
        <v>2604</v>
      </c>
      <c r="D17" s="32" t="s">
        <v>2605</v>
      </c>
      <c r="G17" t="s">
        <v>75</v>
      </c>
      <c r="H17" s="22" t="s">
        <v>2626</v>
      </c>
      <c r="I17" s="12" t="s">
        <v>926</v>
      </c>
      <c r="J17" s="15" t="s">
        <v>927</v>
      </c>
      <c r="K17" s="11"/>
      <c r="L17" s="14" t="s">
        <v>928</v>
      </c>
      <c r="M17" s="14" t="s">
        <v>929</v>
      </c>
      <c r="N17" s="15" t="s">
        <v>930</v>
      </c>
      <c r="O17" s="11"/>
      <c r="P17" s="11"/>
    </row>
    <row r="18" spans="3:16" x14ac:dyDescent="0.3">
      <c r="C18" s="29" t="s">
        <v>2606</v>
      </c>
      <c r="D18" s="32" t="s">
        <v>2607</v>
      </c>
      <c r="G18" t="s">
        <v>76</v>
      </c>
      <c r="H18" s="22" t="s">
        <v>2627</v>
      </c>
      <c r="I18" s="12" t="s">
        <v>931</v>
      </c>
      <c r="J18" s="15" t="s">
        <v>932</v>
      </c>
      <c r="K18" s="11"/>
      <c r="L18" s="14" t="s">
        <v>933</v>
      </c>
      <c r="M18" s="14" t="s">
        <v>934</v>
      </c>
      <c r="N18" s="15" t="s">
        <v>935</v>
      </c>
      <c r="O18" s="11"/>
      <c r="P18" s="11"/>
    </row>
    <row r="19" spans="3:16" x14ac:dyDescent="0.3">
      <c r="G19" t="s">
        <v>77</v>
      </c>
      <c r="H19" s="22" t="s">
        <v>2628</v>
      </c>
      <c r="I19" s="12" t="s">
        <v>936</v>
      </c>
      <c r="J19" s="15" t="s">
        <v>937</v>
      </c>
      <c r="K19" s="11"/>
      <c r="L19" s="14" t="s">
        <v>915</v>
      </c>
      <c r="M19" s="14" t="s">
        <v>938</v>
      </c>
      <c r="N19" s="15" t="s">
        <v>939</v>
      </c>
      <c r="O19" s="11"/>
      <c r="P19" s="11"/>
    </row>
    <row r="20" spans="3:16" x14ac:dyDescent="0.3">
      <c r="G20" t="s">
        <v>78</v>
      </c>
      <c r="H20" s="22" t="s">
        <v>2629</v>
      </c>
      <c r="I20" s="12" t="s">
        <v>940</v>
      </c>
      <c r="J20" s="15" t="s">
        <v>941</v>
      </c>
      <c r="K20" s="11"/>
      <c r="L20" s="14" t="s">
        <v>942</v>
      </c>
      <c r="M20" s="14" t="s">
        <v>943</v>
      </c>
      <c r="N20" s="15" t="s">
        <v>944</v>
      </c>
      <c r="O20" s="11"/>
      <c r="P20" s="11"/>
    </row>
    <row r="21" spans="3:16" x14ac:dyDescent="0.3">
      <c r="G21" t="s">
        <v>79</v>
      </c>
      <c r="H21" s="22" t="s">
        <v>2630</v>
      </c>
      <c r="I21" s="12" t="s">
        <v>945</v>
      </c>
      <c r="J21" s="15" t="s">
        <v>946</v>
      </c>
      <c r="K21" s="11"/>
      <c r="L21" s="14" t="s">
        <v>947</v>
      </c>
      <c r="M21" s="14" t="s">
        <v>948</v>
      </c>
      <c r="N21" s="17" t="s">
        <v>949</v>
      </c>
      <c r="O21" s="11"/>
      <c r="P21" s="11"/>
    </row>
    <row r="22" spans="3:16" x14ac:dyDescent="0.3">
      <c r="G22" t="s">
        <v>80</v>
      </c>
      <c r="H22" s="22" t="s">
        <v>2631</v>
      </c>
      <c r="I22" s="12" t="s">
        <v>950</v>
      </c>
      <c r="J22" s="15" t="s">
        <v>846</v>
      </c>
      <c r="K22" s="11"/>
      <c r="L22" s="14" t="s">
        <v>951</v>
      </c>
      <c r="M22" s="14" t="s">
        <v>952</v>
      </c>
      <c r="N22" s="18"/>
      <c r="O22" s="11"/>
      <c r="P22" s="11"/>
    </row>
    <row r="23" spans="3:16" x14ac:dyDescent="0.3">
      <c r="G23" t="s">
        <v>81</v>
      </c>
      <c r="H23" s="22" t="s">
        <v>2632</v>
      </c>
      <c r="I23" s="12" t="s">
        <v>953</v>
      </c>
      <c r="J23" s="15" t="s">
        <v>954</v>
      </c>
      <c r="K23" s="11"/>
      <c r="L23" s="14" t="s">
        <v>955</v>
      </c>
      <c r="M23" s="14" t="s">
        <v>956</v>
      </c>
      <c r="N23" s="18"/>
      <c r="O23" s="11"/>
      <c r="P23" s="11"/>
    </row>
    <row r="24" spans="3:16" x14ac:dyDescent="0.3">
      <c r="G24" t="s">
        <v>82</v>
      </c>
      <c r="H24" s="22" t="s">
        <v>2633</v>
      </c>
      <c r="I24" s="12" t="s">
        <v>957</v>
      </c>
      <c r="J24" s="15" t="s">
        <v>958</v>
      </c>
      <c r="K24" s="11"/>
      <c r="L24" s="14" t="s">
        <v>959</v>
      </c>
      <c r="M24" s="14" t="s">
        <v>960</v>
      </c>
      <c r="N24" s="18"/>
      <c r="O24" s="11"/>
      <c r="P24" s="11"/>
    </row>
    <row r="25" spans="3:16" x14ac:dyDescent="0.3">
      <c r="G25" t="s">
        <v>83</v>
      </c>
      <c r="H25" s="22" t="s">
        <v>2634</v>
      </c>
      <c r="I25" s="12" t="s">
        <v>961</v>
      </c>
      <c r="J25" s="15" t="s">
        <v>962</v>
      </c>
      <c r="K25" s="11"/>
      <c r="L25" s="14" t="s">
        <v>963</v>
      </c>
      <c r="M25" s="14" t="s">
        <v>964</v>
      </c>
      <c r="N25" s="18"/>
      <c r="O25" s="11"/>
      <c r="P25" s="11"/>
    </row>
    <row r="26" spans="3:16" x14ac:dyDescent="0.3">
      <c r="G26" t="s">
        <v>84</v>
      </c>
      <c r="H26" s="22" t="s">
        <v>2635</v>
      </c>
      <c r="I26" s="12" t="s">
        <v>965</v>
      </c>
      <c r="J26" s="15" t="s">
        <v>966</v>
      </c>
      <c r="K26" s="11"/>
      <c r="L26" s="14" t="s">
        <v>967</v>
      </c>
      <c r="M26" s="14" t="s">
        <v>968</v>
      </c>
      <c r="N26" s="18"/>
      <c r="O26" s="11"/>
      <c r="P26" s="11"/>
    </row>
    <row r="27" spans="3:16" x14ac:dyDescent="0.3">
      <c r="G27" t="s">
        <v>85</v>
      </c>
      <c r="H27" s="22" t="s">
        <v>2636</v>
      </c>
      <c r="I27" s="12" t="s">
        <v>969</v>
      </c>
      <c r="J27" s="15" t="s">
        <v>970</v>
      </c>
      <c r="K27" s="11"/>
      <c r="L27" s="14" t="s">
        <v>971</v>
      </c>
      <c r="M27" s="14" t="s">
        <v>972</v>
      </c>
      <c r="N27" s="18"/>
      <c r="O27" s="11"/>
      <c r="P27" s="11"/>
    </row>
    <row r="28" spans="3:16" x14ac:dyDescent="0.3">
      <c r="G28" t="s">
        <v>86</v>
      </c>
      <c r="H28" s="22" t="s">
        <v>2637</v>
      </c>
      <c r="I28" s="12" t="s">
        <v>973</v>
      </c>
      <c r="J28" s="15" t="s">
        <v>974</v>
      </c>
      <c r="K28" s="11"/>
      <c r="L28" s="14" t="s">
        <v>975</v>
      </c>
      <c r="M28" s="14" t="s">
        <v>976</v>
      </c>
      <c r="N28" s="18"/>
      <c r="O28" s="11"/>
      <c r="P28" s="11"/>
    </row>
    <row r="29" spans="3:16" x14ac:dyDescent="0.3">
      <c r="G29" t="s">
        <v>87</v>
      </c>
      <c r="H29" s="22" t="s">
        <v>2638</v>
      </c>
      <c r="I29" s="12" t="s">
        <v>977</v>
      </c>
      <c r="J29" s="15" t="s">
        <v>978</v>
      </c>
      <c r="K29" s="11"/>
      <c r="L29" s="14" t="s">
        <v>979</v>
      </c>
      <c r="M29" s="14" t="s">
        <v>980</v>
      </c>
      <c r="N29" s="18"/>
      <c r="O29" s="11"/>
      <c r="P29" s="11"/>
    </row>
    <row r="30" spans="3:16" x14ac:dyDescent="0.3">
      <c r="G30" t="s">
        <v>88</v>
      </c>
      <c r="H30" s="22" t="s">
        <v>2639</v>
      </c>
      <c r="I30" s="12" t="s">
        <v>981</v>
      </c>
      <c r="J30" s="15" t="s">
        <v>982</v>
      </c>
      <c r="K30" s="11"/>
      <c r="L30" s="14" t="s">
        <v>983</v>
      </c>
      <c r="M30" s="14" t="s">
        <v>984</v>
      </c>
      <c r="N30" s="18"/>
      <c r="O30" s="11"/>
      <c r="P30" s="11"/>
    </row>
    <row r="31" spans="3:16" x14ac:dyDescent="0.3">
      <c r="G31" t="s">
        <v>89</v>
      </c>
      <c r="H31" s="22" t="s">
        <v>2640</v>
      </c>
      <c r="I31" s="12" t="s">
        <v>985</v>
      </c>
      <c r="J31" s="15" t="s">
        <v>986</v>
      </c>
      <c r="K31" s="11"/>
      <c r="L31" s="14" t="s">
        <v>987</v>
      </c>
      <c r="M31" s="14" t="s">
        <v>988</v>
      </c>
      <c r="N31" s="18"/>
      <c r="O31" s="11"/>
      <c r="P31" s="11"/>
    </row>
    <row r="32" spans="3:16" x14ac:dyDescent="0.3">
      <c r="G32" t="s">
        <v>90</v>
      </c>
      <c r="H32" s="22" t="s">
        <v>2641</v>
      </c>
      <c r="I32" s="12" t="s">
        <v>989</v>
      </c>
      <c r="J32" s="15" t="s">
        <v>990</v>
      </c>
      <c r="K32" s="11"/>
      <c r="L32" s="14" t="s">
        <v>991</v>
      </c>
      <c r="M32" s="14" t="s">
        <v>992</v>
      </c>
      <c r="N32" s="18"/>
      <c r="O32" s="11"/>
      <c r="P32" s="11"/>
    </row>
    <row r="33" spans="7:16" x14ac:dyDescent="0.3">
      <c r="G33" t="s">
        <v>91</v>
      </c>
      <c r="H33" s="22" t="s">
        <v>2642</v>
      </c>
      <c r="I33" s="12" t="s">
        <v>993</v>
      </c>
      <c r="J33" s="15" t="s">
        <v>994</v>
      </c>
      <c r="K33" s="11"/>
      <c r="L33" s="14" t="s">
        <v>995</v>
      </c>
      <c r="M33" s="14" t="s">
        <v>996</v>
      </c>
      <c r="N33" s="18"/>
      <c r="O33" s="11"/>
      <c r="P33" s="11"/>
    </row>
    <row r="34" spans="7:16" x14ac:dyDescent="0.3">
      <c r="G34" t="s">
        <v>92</v>
      </c>
      <c r="H34" s="22" t="s">
        <v>2643</v>
      </c>
      <c r="I34" s="12" t="s">
        <v>997</v>
      </c>
      <c r="J34" s="15" t="s">
        <v>998</v>
      </c>
      <c r="K34" s="11"/>
      <c r="L34" s="14" t="s">
        <v>999</v>
      </c>
      <c r="M34" s="14" t="s">
        <v>996</v>
      </c>
      <c r="N34" s="18"/>
      <c r="O34" s="11"/>
      <c r="P34" s="11"/>
    </row>
    <row r="35" spans="7:16" x14ac:dyDescent="0.3">
      <c r="G35" t="s">
        <v>93</v>
      </c>
      <c r="H35" s="22" t="s">
        <v>2644</v>
      </c>
      <c r="I35" s="12" t="s">
        <v>1000</v>
      </c>
      <c r="J35" s="15" t="s">
        <v>1001</v>
      </c>
      <c r="K35" s="11"/>
      <c r="L35" s="14" t="s">
        <v>1002</v>
      </c>
      <c r="M35" s="14" t="s">
        <v>1003</v>
      </c>
      <c r="N35" s="18"/>
      <c r="O35" s="11"/>
      <c r="P35" s="11"/>
    </row>
    <row r="36" spans="7:16" x14ac:dyDescent="0.3">
      <c r="G36" t="s">
        <v>94</v>
      </c>
      <c r="H36" s="22" t="s">
        <v>2645</v>
      </c>
      <c r="I36" s="12" t="s">
        <v>1004</v>
      </c>
      <c r="J36" s="15" t="s">
        <v>1005</v>
      </c>
      <c r="K36" s="11"/>
      <c r="L36" s="14" t="s">
        <v>1006</v>
      </c>
      <c r="M36" s="14" t="s">
        <v>1007</v>
      </c>
      <c r="N36" s="18"/>
      <c r="O36" s="11"/>
      <c r="P36" s="11"/>
    </row>
    <row r="37" spans="7:16" x14ac:dyDescent="0.3">
      <c r="G37" t="s">
        <v>95</v>
      </c>
      <c r="H37" s="22" t="s">
        <v>2646</v>
      </c>
      <c r="I37" s="12" t="s">
        <v>1008</v>
      </c>
      <c r="J37" s="15" t="s">
        <v>1009</v>
      </c>
      <c r="K37" s="11"/>
      <c r="L37" s="14" t="s">
        <v>1010</v>
      </c>
      <c r="M37" s="14" t="s">
        <v>1011</v>
      </c>
      <c r="N37" s="18"/>
      <c r="O37" s="11"/>
      <c r="P37" s="11"/>
    </row>
    <row r="38" spans="7:16" x14ac:dyDescent="0.3">
      <c r="G38" t="s">
        <v>96</v>
      </c>
      <c r="H38" s="22" t="s">
        <v>2647</v>
      </c>
      <c r="I38" s="12" t="s">
        <v>1012</v>
      </c>
      <c r="J38" s="15" t="s">
        <v>1013</v>
      </c>
      <c r="K38" s="11"/>
      <c r="L38" s="14" t="s">
        <v>1014</v>
      </c>
      <c r="M38" s="14" t="s">
        <v>1015</v>
      </c>
      <c r="N38" s="18"/>
      <c r="O38" s="11"/>
      <c r="P38" s="11"/>
    </row>
    <row r="39" spans="7:16" x14ac:dyDescent="0.3">
      <c r="G39" t="s">
        <v>97</v>
      </c>
      <c r="H39" s="22" t="s">
        <v>2648</v>
      </c>
      <c r="I39" s="12" t="s">
        <v>1016</v>
      </c>
      <c r="J39" s="15" t="s">
        <v>1017</v>
      </c>
      <c r="K39" s="11"/>
      <c r="L39" s="14" t="s">
        <v>1018</v>
      </c>
      <c r="M39" s="14" t="s">
        <v>1019</v>
      </c>
      <c r="N39" s="18"/>
      <c r="O39" s="11"/>
      <c r="P39" s="11"/>
    </row>
    <row r="40" spans="7:16" x14ac:dyDescent="0.3">
      <c r="G40" t="s">
        <v>98</v>
      </c>
      <c r="H40" s="22" t="s">
        <v>2649</v>
      </c>
      <c r="I40" s="12" t="s">
        <v>1020</v>
      </c>
      <c r="J40" s="15" t="s">
        <v>1021</v>
      </c>
      <c r="K40" s="11"/>
      <c r="L40" s="14" t="s">
        <v>1022</v>
      </c>
      <c r="M40" s="14" t="s">
        <v>1023</v>
      </c>
      <c r="N40" s="18"/>
      <c r="O40" s="11"/>
      <c r="P40" s="11"/>
    </row>
    <row r="41" spans="7:16" x14ac:dyDescent="0.3">
      <c r="G41" t="s">
        <v>99</v>
      </c>
      <c r="H41" s="22" t="s">
        <v>2650</v>
      </c>
      <c r="I41" s="12" t="s">
        <v>1024</v>
      </c>
      <c r="J41" s="15" t="s">
        <v>1025</v>
      </c>
      <c r="K41" s="11"/>
      <c r="L41" s="14" t="s">
        <v>1026</v>
      </c>
      <c r="M41" s="14" t="s">
        <v>1027</v>
      </c>
      <c r="N41" s="18"/>
      <c r="O41" s="11"/>
      <c r="P41" s="11"/>
    </row>
    <row r="42" spans="7:16" x14ac:dyDescent="0.3">
      <c r="G42" t="s">
        <v>100</v>
      </c>
      <c r="H42" s="22" t="s">
        <v>2651</v>
      </c>
      <c r="I42" s="12" t="s">
        <v>1028</v>
      </c>
      <c r="J42" s="15" t="s">
        <v>1029</v>
      </c>
      <c r="K42" s="11"/>
      <c r="L42" s="14" t="s">
        <v>1030</v>
      </c>
      <c r="M42" s="14" t="s">
        <v>1031</v>
      </c>
      <c r="N42" s="18"/>
      <c r="O42" s="11"/>
      <c r="P42" s="11"/>
    </row>
    <row r="43" spans="7:16" x14ac:dyDescent="0.3">
      <c r="G43" t="s">
        <v>101</v>
      </c>
      <c r="H43" s="22" t="s">
        <v>2652</v>
      </c>
      <c r="I43" s="12" t="s">
        <v>1032</v>
      </c>
      <c r="J43" s="15" t="s">
        <v>1033</v>
      </c>
      <c r="K43" s="11"/>
      <c r="L43" s="14" t="s">
        <v>1034</v>
      </c>
      <c r="M43" s="14" t="s">
        <v>1035</v>
      </c>
      <c r="N43" s="18"/>
      <c r="O43" s="11"/>
      <c r="P43" s="11"/>
    </row>
    <row r="44" spans="7:16" x14ac:dyDescent="0.3">
      <c r="G44" t="s">
        <v>102</v>
      </c>
      <c r="H44" s="22" t="s">
        <v>2653</v>
      </c>
      <c r="I44" s="12" t="s">
        <v>1036</v>
      </c>
      <c r="J44" s="15" t="s">
        <v>1037</v>
      </c>
      <c r="K44" s="11"/>
      <c r="L44" s="14" t="s">
        <v>1038</v>
      </c>
      <c r="M44" s="14" t="s">
        <v>1039</v>
      </c>
      <c r="N44" s="18"/>
      <c r="O44" s="11"/>
      <c r="P44" s="11"/>
    </row>
    <row r="45" spans="7:16" x14ac:dyDescent="0.3">
      <c r="G45" t="s">
        <v>103</v>
      </c>
      <c r="H45" s="22" t="s">
        <v>2654</v>
      </c>
      <c r="I45" s="12" t="s">
        <v>1040</v>
      </c>
      <c r="J45" s="15" t="s">
        <v>1041</v>
      </c>
      <c r="K45" s="11"/>
      <c r="L45" s="14" t="s">
        <v>1042</v>
      </c>
      <c r="M45" s="14" t="s">
        <v>1043</v>
      </c>
      <c r="N45" s="18"/>
      <c r="O45" s="11"/>
      <c r="P45" s="11"/>
    </row>
    <row r="46" spans="7:16" x14ac:dyDescent="0.3">
      <c r="G46" t="s">
        <v>104</v>
      </c>
      <c r="H46" s="22" t="s">
        <v>2655</v>
      </c>
      <c r="I46" s="12" t="s">
        <v>1044</v>
      </c>
      <c r="J46" s="15" t="s">
        <v>1045</v>
      </c>
      <c r="K46" s="11"/>
      <c r="L46" s="14" t="s">
        <v>1046</v>
      </c>
      <c r="M46" s="14" t="s">
        <v>1047</v>
      </c>
      <c r="N46" s="18"/>
      <c r="O46" s="11"/>
      <c r="P46" s="11"/>
    </row>
    <row r="47" spans="7:16" x14ac:dyDescent="0.3">
      <c r="G47" t="s">
        <v>105</v>
      </c>
      <c r="H47" s="24" t="s">
        <v>2656</v>
      </c>
      <c r="I47" s="12" t="s">
        <v>73</v>
      </c>
      <c r="J47" s="15" t="s">
        <v>1048</v>
      </c>
      <c r="K47" s="11"/>
      <c r="L47" s="14" t="s">
        <v>1049</v>
      </c>
      <c r="M47" s="14" t="s">
        <v>1050</v>
      </c>
      <c r="N47" s="18"/>
      <c r="O47" s="11"/>
      <c r="P47" s="11"/>
    </row>
    <row r="48" spans="7:16" x14ac:dyDescent="0.3">
      <c r="G48" t="s">
        <v>106</v>
      </c>
      <c r="I48" s="12" t="s">
        <v>1051</v>
      </c>
      <c r="J48" s="15" t="s">
        <v>1052</v>
      </c>
      <c r="K48" s="11"/>
      <c r="L48" s="14" t="s">
        <v>1053</v>
      </c>
      <c r="M48" s="14" t="s">
        <v>1054</v>
      </c>
      <c r="N48" s="18"/>
      <c r="O48" s="11"/>
      <c r="P48" s="11"/>
    </row>
    <row r="49" spans="7:16" x14ac:dyDescent="0.3">
      <c r="G49" t="s">
        <v>6</v>
      </c>
      <c r="I49" s="12" t="s">
        <v>1055</v>
      </c>
      <c r="J49" s="15" t="s">
        <v>1056</v>
      </c>
      <c r="K49" s="11"/>
      <c r="L49" s="14" t="s">
        <v>1057</v>
      </c>
      <c r="M49" s="14" t="s">
        <v>1058</v>
      </c>
      <c r="N49" s="18"/>
      <c r="O49" s="11"/>
      <c r="P49" s="11"/>
    </row>
    <row r="50" spans="7:16" x14ac:dyDescent="0.3">
      <c r="G50" t="s">
        <v>107</v>
      </c>
      <c r="I50" s="12" t="s">
        <v>1059</v>
      </c>
      <c r="J50" s="15" t="s">
        <v>1060</v>
      </c>
      <c r="K50" s="11"/>
      <c r="L50" s="14" t="s">
        <v>1061</v>
      </c>
      <c r="M50" s="14" t="s">
        <v>1062</v>
      </c>
      <c r="N50" s="18"/>
      <c r="O50" s="11"/>
      <c r="P50" s="11"/>
    </row>
    <row r="51" spans="7:16" x14ac:dyDescent="0.3">
      <c r="G51" t="s">
        <v>108</v>
      </c>
      <c r="I51" s="12" t="s">
        <v>1063</v>
      </c>
      <c r="J51" s="15" t="s">
        <v>1064</v>
      </c>
      <c r="K51" s="11"/>
      <c r="L51" s="14" t="s">
        <v>1065</v>
      </c>
      <c r="M51" s="14" t="s">
        <v>1066</v>
      </c>
      <c r="N51" s="18"/>
      <c r="O51" s="11"/>
      <c r="P51" s="11"/>
    </row>
    <row r="52" spans="7:16" x14ac:dyDescent="0.3">
      <c r="G52" t="s">
        <v>109</v>
      </c>
      <c r="I52" s="12" t="s">
        <v>1067</v>
      </c>
      <c r="J52" s="15" t="s">
        <v>1064</v>
      </c>
      <c r="K52" s="11"/>
      <c r="L52" s="14" t="s">
        <v>1068</v>
      </c>
      <c r="M52" s="14" t="s">
        <v>1069</v>
      </c>
      <c r="N52" s="18"/>
      <c r="O52" s="11"/>
      <c r="P52" s="11"/>
    </row>
    <row r="53" spans="7:16" x14ac:dyDescent="0.3">
      <c r="G53" t="s">
        <v>110</v>
      </c>
      <c r="I53" s="12" t="s">
        <v>1070</v>
      </c>
      <c r="J53" s="15" t="s">
        <v>1071</v>
      </c>
      <c r="K53" s="11"/>
      <c r="L53" s="14" t="s">
        <v>1072</v>
      </c>
      <c r="M53" s="14" t="s">
        <v>1073</v>
      </c>
      <c r="N53" s="18"/>
      <c r="O53" s="11"/>
      <c r="P53" s="11"/>
    </row>
    <row r="54" spans="7:16" x14ac:dyDescent="0.3">
      <c r="G54" t="s">
        <v>111</v>
      </c>
      <c r="I54" s="12" t="s">
        <v>1074</v>
      </c>
      <c r="J54" s="15" t="s">
        <v>1075</v>
      </c>
      <c r="K54" s="11"/>
      <c r="L54" s="14" t="s">
        <v>1076</v>
      </c>
      <c r="M54" s="14" t="s">
        <v>1077</v>
      </c>
      <c r="N54" s="18"/>
      <c r="O54" s="11"/>
      <c r="P54" s="11"/>
    </row>
    <row r="55" spans="7:16" x14ac:dyDescent="0.3">
      <c r="G55" t="s">
        <v>112</v>
      </c>
      <c r="I55" s="12" t="s">
        <v>1078</v>
      </c>
      <c r="J55" s="15" t="s">
        <v>1079</v>
      </c>
      <c r="K55" s="11"/>
      <c r="L55" s="14" t="s">
        <v>1080</v>
      </c>
      <c r="M55" s="14" t="s">
        <v>1081</v>
      </c>
      <c r="N55" s="18"/>
      <c r="O55" s="11"/>
      <c r="P55" s="11"/>
    </row>
    <row r="56" spans="7:16" x14ac:dyDescent="0.3">
      <c r="G56" t="s">
        <v>113</v>
      </c>
      <c r="I56" s="12" t="s">
        <v>1082</v>
      </c>
      <c r="J56" s="15" t="s">
        <v>1083</v>
      </c>
      <c r="K56" s="11"/>
      <c r="L56" s="14" t="s">
        <v>1084</v>
      </c>
      <c r="M56" s="14" t="s">
        <v>1085</v>
      </c>
      <c r="N56" s="18"/>
      <c r="O56" s="11"/>
      <c r="P56" s="11"/>
    </row>
    <row r="57" spans="7:16" x14ac:dyDescent="0.3">
      <c r="G57" t="s">
        <v>114</v>
      </c>
      <c r="I57" s="12" t="s">
        <v>1086</v>
      </c>
      <c r="J57" s="15" t="s">
        <v>1087</v>
      </c>
      <c r="K57" s="11"/>
      <c r="L57" s="14" t="s">
        <v>1088</v>
      </c>
      <c r="M57" s="14" t="s">
        <v>1089</v>
      </c>
      <c r="N57" s="18"/>
      <c r="O57" s="11"/>
      <c r="P57" s="11"/>
    </row>
    <row r="58" spans="7:16" x14ac:dyDescent="0.3">
      <c r="G58" t="s">
        <v>115</v>
      </c>
      <c r="I58" s="12" t="s">
        <v>1090</v>
      </c>
      <c r="J58" s="15" t="s">
        <v>879</v>
      </c>
      <c r="K58" s="11"/>
      <c r="L58" s="16" t="s">
        <v>1091</v>
      </c>
      <c r="M58" s="14" t="s">
        <v>1092</v>
      </c>
      <c r="N58" s="18"/>
      <c r="O58" s="11"/>
      <c r="P58" s="11"/>
    </row>
    <row r="59" spans="7:16" x14ac:dyDescent="0.3">
      <c r="G59" t="s">
        <v>116</v>
      </c>
      <c r="I59" s="12" t="s">
        <v>1093</v>
      </c>
      <c r="J59" s="15" t="s">
        <v>1094</v>
      </c>
      <c r="K59" s="11"/>
      <c r="L59" s="11"/>
      <c r="M59" s="14" t="s">
        <v>1095</v>
      </c>
      <c r="N59" s="18"/>
      <c r="O59" s="11"/>
      <c r="P59" s="11"/>
    </row>
    <row r="60" spans="7:16" x14ac:dyDescent="0.3">
      <c r="G60" t="s">
        <v>117</v>
      </c>
      <c r="I60" s="12" t="s">
        <v>1096</v>
      </c>
      <c r="J60" s="15" t="s">
        <v>1097</v>
      </c>
      <c r="K60" s="11"/>
      <c r="L60" s="11"/>
      <c r="M60" s="14" t="s">
        <v>1098</v>
      </c>
      <c r="N60" s="18"/>
      <c r="O60" s="11"/>
      <c r="P60" s="11"/>
    </row>
    <row r="61" spans="7:16" x14ac:dyDescent="0.3">
      <c r="G61" t="s">
        <v>118</v>
      </c>
      <c r="I61" s="12" t="s">
        <v>1099</v>
      </c>
      <c r="J61" s="15" t="s">
        <v>1100</v>
      </c>
      <c r="K61" s="11"/>
      <c r="L61" s="11"/>
      <c r="M61" s="14" t="s">
        <v>1101</v>
      </c>
      <c r="N61" s="18"/>
      <c r="O61" s="11"/>
      <c r="P61" s="11"/>
    </row>
    <row r="62" spans="7:16" x14ac:dyDescent="0.3">
      <c r="G62" t="s">
        <v>119</v>
      </c>
      <c r="I62" s="12" t="s">
        <v>1102</v>
      </c>
      <c r="J62" s="15" t="s">
        <v>1103</v>
      </c>
      <c r="K62" s="11"/>
      <c r="L62" s="11"/>
      <c r="M62" s="14" t="s">
        <v>1104</v>
      </c>
      <c r="N62" s="18"/>
      <c r="O62" s="11"/>
      <c r="P62" s="11"/>
    </row>
    <row r="63" spans="7:16" x14ac:dyDescent="0.3">
      <c r="G63" t="s">
        <v>120</v>
      </c>
      <c r="I63" s="12" t="s">
        <v>1105</v>
      </c>
      <c r="J63" s="15" t="s">
        <v>1106</v>
      </c>
      <c r="K63" s="11"/>
      <c r="L63" s="11"/>
      <c r="M63" s="14" t="s">
        <v>1107</v>
      </c>
      <c r="N63" s="18"/>
      <c r="O63" s="11"/>
      <c r="P63" s="11"/>
    </row>
    <row r="64" spans="7:16" x14ac:dyDescent="0.3">
      <c r="G64" t="s">
        <v>121</v>
      </c>
      <c r="I64" s="12" t="s">
        <v>1108</v>
      </c>
      <c r="J64" s="15" t="s">
        <v>1109</v>
      </c>
      <c r="K64" s="11"/>
      <c r="L64" s="11"/>
      <c r="M64" s="14" t="s">
        <v>1110</v>
      </c>
      <c r="N64" s="18"/>
      <c r="O64" s="11"/>
      <c r="P64" s="11"/>
    </row>
    <row r="65" spans="7:16" x14ac:dyDescent="0.3">
      <c r="G65" t="s">
        <v>122</v>
      </c>
      <c r="I65" s="12" t="s">
        <v>1111</v>
      </c>
      <c r="J65" s="15" t="s">
        <v>1112</v>
      </c>
      <c r="K65" s="11"/>
      <c r="L65" s="11"/>
      <c r="M65" s="14" t="s">
        <v>1113</v>
      </c>
      <c r="N65" s="18"/>
      <c r="O65" s="11"/>
      <c r="P65" s="11"/>
    </row>
    <row r="66" spans="7:16" x14ac:dyDescent="0.3">
      <c r="G66" t="s">
        <v>123</v>
      </c>
      <c r="I66" s="12" t="s">
        <v>1114</v>
      </c>
      <c r="J66" s="15" t="s">
        <v>1115</v>
      </c>
      <c r="K66" s="11"/>
      <c r="L66" s="11"/>
      <c r="M66" s="14" t="s">
        <v>1116</v>
      </c>
      <c r="N66" s="18"/>
      <c r="O66" s="11"/>
      <c r="P66" s="11"/>
    </row>
    <row r="67" spans="7:16" x14ac:dyDescent="0.3">
      <c r="G67" t="s">
        <v>124</v>
      </c>
      <c r="I67" s="12" t="s">
        <v>1117</v>
      </c>
      <c r="J67" s="15" t="s">
        <v>1118</v>
      </c>
      <c r="K67" s="11"/>
      <c r="L67" s="11"/>
      <c r="M67" s="14" t="s">
        <v>1119</v>
      </c>
      <c r="N67" s="18"/>
      <c r="O67" s="11"/>
      <c r="P67" s="11"/>
    </row>
    <row r="68" spans="7:16" x14ac:dyDescent="0.3">
      <c r="G68" t="s">
        <v>125</v>
      </c>
      <c r="I68" s="12" t="s">
        <v>1120</v>
      </c>
      <c r="J68" s="15" t="s">
        <v>1121</v>
      </c>
      <c r="K68" s="11"/>
      <c r="L68" s="11"/>
      <c r="M68" s="14" t="s">
        <v>1122</v>
      </c>
      <c r="N68" s="18"/>
      <c r="O68" s="11"/>
      <c r="P68" s="11"/>
    </row>
    <row r="69" spans="7:16" x14ac:dyDescent="0.3">
      <c r="G69" t="s">
        <v>126</v>
      </c>
      <c r="I69" s="12" t="s">
        <v>1123</v>
      </c>
      <c r="J69" s="15" t="s">
        <v>1124</v>
      </c>
      <c r="K69" s="11"/>
      <c r="L69" s="11"/>
      <c r="M69" s="14" t="s">
        <v>1125</v>
      </c>
      <c r="N69" s="18"/>
      <c r="O69" s="11"/>
      <c r="P69" s="11"/>
    </row>
    <row r="70" spans="7:16" x14ac:dyDescent="0.3">
      <c r="G70" t="s">
        <v>127</v>
      </c>
      <c r="I70" s="12" t="s">
        <v>1126</v>
      </c>
      <c r="J70" s="15" t="s">
        <v>1127</v>
      </c>
      <c r="K70" s="11"/>
      <c r="L70" s="11"/>
      <c r="M70" s="14" t="s">
        <v>1128</v>
      </c>
      <c r="N70" s="18"/>
      <c r="O70" s="11"/>
      <c r="P70" s="11"/>
    </row>
    <row r="71" spans="7:16" x14ac:dyDescent="0.3">
      <c r="G71" t="s">
        <v>128</v>
      </c>
      <c r="I71" s="12" t="s">
        <v>1129</v>
      </c>
      <c r="J71" s="15" t="s">
        <v>1130</v>
      </c>
      <c r="K71" s="11"/>
      <c r="L71" s="11"/>
      <c r="M71" s="14" t="s">
        <v>1131</v>
      </c>
      <c r="N71" s="18"/>
      <c r="O71" s="11"/>
      <c r="P71" s="11"/>
    </row>
    <row r="72" spans="7:16" x14ac:dyDescent="0.3">
      <c r="G72" t="s">
        <v>129</v>
      </c>
      <c r="I72" s="12" t="s">
        <v>1132</v>
      </c>
      <c r="J72" s="15" t="s">
        <v>1133</v>
      </c>
      <c r="K72" s="11"/>
      <c r="L72" s="11"/>
      <c r="M72" s="14" t="s">
        <v>1134</v>
      </c>
      <c r="N72" s="18"/>
      <c r="O72" s="11"/>
      <c r="P72" s="11"/>
    </row>
    <row r="73" spans="7:16" x14ac:dyDescent="0.3">
      <c r="G73" t="s">
        <v>130</v>
      </c>
      <c r="I73" s="12" t="s">
        <v>1135</v>
      </c>
      <c r="J73" s="15" t="s">
        <v>1136</v>
      </c>
      <c r="K73" s="11"/>
      <c r="L73" s="11"/>
      <c r="M73" s="14" t="s">
        <v>1137</v>
      </c>
      <c r="N73" s="18"/>
      <c r="O73" s="11"/>
      <c r="P73" s="11"/>
    </row>
    <row r="74" spans="7:16" x14ac:dyDescent="0.3">
      <c r="G74" t="s">
        <v>131</v>
      </c>
      <c r="I74" s="12" t="s">
        <v>1138</v>
      </c>
      <c r="J74" s="15" t="s">
        <v>1139</v>
      </c>
      <c r="K74" s="11"/>
      <c r="L74" s="11"/>
      <c r="M74" s="14" t="s">
        <v>1140</v>
      </c>
      <c r="N74" s="18"/>
      <c r="O74" s="11"/>
      <c r="P74" s="11"/>
    </row>
    <row r="75" spans="7:16" x14ac:dyDescent="0.3">
      <c r="G75" t="s">
        <v>132</v>
      </c>
      <c r="I75" s="12" t="s">
        <v>1141</v>
      </c>
      <c r="J75" s="15" t="s">
        <v>1142</v>
      </c>
      <c r="K75" s="11"/>
      <c r="L75" s="11"/>
      <c r="M75" s="14" t="s">
        <v>1143</v>
      </c>
      <c r="N75" s="18"/>
      <c r="O75" s="11"/>
      <c r="P75" s="11"/>
    </row>
    <row r="76" spans="7:16" x14ac:dyDescent="0.3">
      <c r="G76" t="s">
        <v>133</v>
      </c>
      <c r="I76" s="12" t="s">
        <v>1144</v>
      </c>
      <c r="J76" s="15" t="s">
        <v>1145</v>
      </c>
      <c r="K76" s="11"/>
      <c r="L76" s="11"/>
      <c r="M76" s="14" t="s">
        <v>1146</v>
      </c>
      <c r="N76" s="18"/>
      <c r="O76" s="11"/>
      <c r="P76" s="11"/>
    </row>
    <row r="77" spans="7:16" x14ac:dyDescent="0.3">
      <c r="G77" t="s">
        <v>134</v>
      </c>
      <c r="I77" s="12" t="s">
        <v>1147</v>
      </c>
      <c r="J77" s="15" t="s">
        <v>1148</v>
      </c>
      <c r="K77" s="11"/>
      <c r="L77" s="11"/>
      <c r="M77" s="14" t="s">
        <v>1149</v>
      </c>
      <c r="N77" s="18"/>
      <c r="O77" s="11"/>
      <c r="P77" s="11"/>
    </row>
    <row r="78" spans="7:16" x14ac:dyDescent="0.3">
      <c r="G78" t="s">
        <v>135</v>
      </c>
      <c r="I78" s="12" t="s">
        <v>1150</v>
      </c>
      <c r="J78" s="15" t="s">
        <v>1151</v>
      </c>
      <c r="K78" s="11"/>
      <c r="L78" s="11"/>
      <c r="M78" s="14" t="s">
        <v>1152</v>
      </c>
      <c r="N78" s="18"/>
      <c r="O78" s="11"/>
      <c r="P78" s="11"/>
    </row>
    <row r="79" spans="7:16" x14ac:dyDescent="0.3">
      <c r="G79" t="s">
        <v>136</v>
      </c>
      <c r="I79" s="12" t="s">
        <v>1153</v>
      </c>
      <c r="J79" s="15" t="s">
        <v>1154</v>
      </c>
      <c r="K79" s="11"/>
      <c r="L79" s="11"/>
      <c r="M79" s="14" t="s">
        <v>1155</v>
      </c>
      <c r="N79" s="18"/>
      <c r="O79" s="11"/>
      <c r="P79" s="11"/>
    </row>
    <row r="80" spans="7:16" x14ac:dyDescent="0.3">
      <c r="G80" t="s">
        <v>137</v>
      </c>
      <c r="I80" s="12" t="s">
        <v>1156</v>
      </c>
      <c r="J80" s="15" t="s">
        <v>1157</v>
      </c>
      <c r="K80" s="11"/>
      <c r="L80" s="11"/>
      <c r="M80" s="14" t="s">
        <v>1158</v>
      </c>
      <c r="N80" s="18"/>
      <c r="O80" s="11"/>
      <c r="P80" s="11"/>
    </row>
    <row r="81" spans="7:16" x14ac:dyDescent="0.3">
      <c r="G81" t="s">
        <v>138</v>
      </c>
      <c r="I81" s="12" t="s">
        <v>1159</v>
      </c>
      <c r="J81" s="15" t="s">
        <v>1160</v>
      </c>
      <c r="K81" s="11"/>
      <c r="L81" s="11"/>
      <c r="M81" s="14" t="s">
        <v>1161</v>
      </c>
      <c r="N81" s="18"/>
      <c r="O81" s="11"/>
      <c r="P81" s="11"/>
    </row>
    <row r="82" spans="7:16" x14ac:dyDescent="0.3">
      <c r="G82" t="s">
        <v>139</v>
      </c>
      <c r="I82" s="12" t="s">
        <v>1162</v>
      </c>
      <c r="J82" s="15" t="s">
        <v>1163</v>
      </c>
      <c r="K82" s="11"/>
      <c r="L82" s="11"/>
      <c r="M82" s="14" t="s">
        <v>1164</v>
      </c>
      <c r="N82" s="18"/>
      <c r="O82" s="11"/>
      <c r="P82" s="11"/>
    </row>
    <row r="83" spans="7:16" x14ac:dyDescent="0.3">
      <c r="G83" t="s">
        <v>140</v>
      </c>
      <c r="I83" s="12" t="s">
        <v>1165</v>
      </c>
      <c r="J83" s="15" t="s">
        <v>1166</v>
      </c>
      <c r="K83" s="11"/>
      <c r="L83" s="11"/>
      <c r="M83" s="14" t="s">
        <v>1046</v>
      </c>
      <c r="N83" s="18"/>
      <c r="O83" s="11"/>
      <c r="P83" s="11"/>
    </row>
    <row r="84" spans="7:16" x14ac:dyDescent="0.3">
      <c r="G84" t="s">
        <v>141</v>
      </c>
      <c r="I84" s="12" t="s">
        <v>1167</v>
      </c>
      <c r="J84" s="15" t="s">
        <v>1168</v>
      </c>
      <c r="K84" s="11"/>
      <c r="L84" s="11"/>
      <c r="M84" s="14" t="s">
        <v>1169</v>
      </c>
      <c r="N84" s="18"/>
      <c r="O84" s="11"/>
      <c r="P84" s="11"/>
    </row>
    <row r="85" spans="7:16" x14ac:dyDescent="0.3">
      <c r="G85" t="s">
        <v>142</v>
      </c>
      <c r="I85" s="12" t="s">
        <v>1170</v>
      </c>
      <c r="J85" s="15" t="s">
        <v>1171</v>
      </c>
      <c r="K85" s="11"/>
      <c r="L85" s="11"/>
      <c r="M85" s="14" t="s">
        <v>1172</v>
      </c>
      <c r="N85" s="18"/>
      <c r="O85" s="11"/>
      <c r="P85" s="11"/>
    </row>
    <row r="86" spans="7:16" x14ac:dyDescent="0.3">
      <c r="G86" t="s">
        <v>143</v>
      </c>
      <c r="I86" s="12" t="s">
        <v>1173</v>
      </c>
      <c r="J86" s="15" t="s">
        <v>1174</v>
      </c>
      <c r="K86" s="11"/>
      <c r="L86" s="11"/>
      <c r="M86" s="14" t="s">
        <v>1175</v>
      </c>
      <c r="N86" s="18"/>
      <c r="O86" s="11"/>
      <c r="P86" s="11"/>
    </row>
    <row r="87" spans="7:16" x14ac:dyDescent="0.3">
      <c r="G87" t="s">
        <v>2</v>
      </c>
      <c r="I87" s="12" t="s">
        <v>1176</v>
      </c>
      <c r="J87" s="15" t="s">
        <v>1177</v>
      </c>
      <c r="K87" s="11"/>
      <c r="L87" s="11"/>
      <c r="M87" s="14" t="s">
        <v>1178</v>
      </c>
      <c r="N87" s="18"/>
      <c r="O87" s="11"/>
      <c r="P87" s="11"/>
    </row>
    <row r="88" spans="7:16" x14ac:dyDescent="0.3">
      <c r="G88" t="s">
        <v>144</v>
      </c>
      <c r="I88" s="12" t="s">
        <v>1179</v>
      </c>
      <c r="J88" s="15" t="s">
        <v>1180</v>
      </c>
      <c r="K88" s="11"/>
      <c r="L88" s="11"/>
      <c r="M88" s="14" t="s">
        <v>1181</v>
      </c>
      <c r="N88" s="18"/>
      <c r="O88" s="11"/>
      <c r="P88" s="11"/>
    </row>
    <row r="89" spans="7:16" x14ac:dyDescent="0.3">
      <c r="G89" t="s">
        <v>145</v>
      </c>
      <c r="I89" s="12" t="s">
        <v>1182</v>
      </c>
      <c r="J89" s="15" t="s">
        <v>1183</v>
      </c>
      <c r="K89" s="11"/>
      <c r="L89" s="11"/>
      <c r="M89" s="14" t="s">
        <v>1184</v>
      </c>
      <c r="N89" s="18"/>
      <c r="O89" s="11"/>
      <c r="P89" s="11"/>
    </row>
    <row r="90" spans="7:16" x14ac:dyDescent="0.3">
      <c r="G90" t="s">
        <v>146</v>
      </c>
      <c r="I90" s="12" t="s">
        <v>1185</v>
      </c>
      <c r="J90" s="15" t="s">
        <v>1186</v>
      </c>
      <c r="K90" s="11"/>
      <c r="L90" s="11"/>
      <c r="M90" s="14" t="s">
        <v>1187</v>
      </c>
      <c r="N90" s="18"/>
      <c r="O90" s="11"/>
      <c r="P90" s="11"/>
    </row>
    <row r="91" spans="7:16" x14ac:dyDescent="0.3">
      <c r="G91" t="s">
        <v>147</v>
      </c>
      <c r="I91" s="12" t="s">
        <v>1188</v>
      </c>
      <c r="J91" s="15" t="s">
        <v>1189</v>
      </c>
      <c r="K91" s="11"/>
      <c r="L91" s="11"/>
      <c r="M91" s="14" t="s">
        <v>1190</v>
      </c>
      <c r="N91" s="18"/>
      <c r="O91" s="11"/>
      <c r="P91" s="11"/>
    </row>
    <row r="92" spans="7:16" x14ac:dyDescent="0.3">
      <c r="G92" t="s">
        <v>148</v>
      </c>
      <c r="I92" s="12" t="s">
        <v>1191</v>
      </c>
      <c r="J92" s="15" t="s">
        <v>1192</v>
      </c>
      <c r="K92" s="11"/>
      <c r="L92" s="11"/>
      <c r="M92" s="14" t="s">
        <v>1193</v>
      </c>
      <c r="N92" s="18"/>
      <c r="O92" s="11"/>
      <c r="P92" s="11"/>
    </row>
    <row r="93" spans="7:16" x14ac:dyDescent="0.3">
      <c r="G93" t="s">
        <v>149</v>
      </c>
      <c r="I93" s="12" t="s">
        <v>1194</v>
      </c>
      <c r="J93" s="15" t="s">
        <v>1195</v>
      </c>
      <c r="K93" s="11"/>
      <c r="L93" s="11"/>
      <c r="M93" s="14" t="s">
        <v>1196</v>
      </c>
      <c r="N93" s="18"/>
      <c r="O93" s="11"/>
      <c r="P93" s="11"/>
    </row>
    <row r="94" spans="7:16" x14ac:dyDescent="0.3">
      <c r="G94" t="s">
        <v>150</v>
      </c>
      <c r="I94" s="12" t="s">
        <v>1197</v>
      </c>
      <c r="J94" s="15" t="s">
        <v>1198</v>
      </c>
      <c r="K94" s="11"/>
      <c r="L94" s="11"/>
      <c r="M94" s="14" t="s">
        <v>1199</v>
      </c>
      <c r="N94" s="18"/>
      <c r="O94" s="11"/>
      <c r="P94" s="11"/>
    </row>
    <row r="95" spans="7:16" x14ac:dyDescent="0.3">
      <c r="G95" t="s">
        <v>151</v>
      </c>
      <c r="I95" s="12" t="s">
        <v>1200</v>
      </c>
      <c r="J95" s="15" t="s">
        <v>1201</v>
      </c>
      <c r="K95" s="11"/>
      <c r="L95" s="11"/>
      <c r="M95" s="14" t="s">
        <v>1202</v>
      </c>
      <c r="N95" s="18"/>
      <c r="O95" s="11"/>
      <c r="P95" s="11"/>
    </row>
    <row r="96" spans="7:16" x14ac:dyDescent="0.3">
      <c r="G96" t="s">
        <v>152</v>
      </c>
      <c r="I96" s="12" t="s">
        <v>1203</v>
      </c>
      <c r="J96" s="15" t="s">
        <v>1204</v>
      </c>
      <c r="K96" s="11"/>
      <c r="L96" s="11"/>
      <c r="M96" s="14" t="s">
        <v>1205</v>
      </c>
      <c r="N96" s="18"/>
      <c r="O96" s="11"/>
      <c r="P96" s="11"/>
    </row>
    <row r="97" spans="7:16" x14ac:dyDescent="0.3">
      <c r="G97" t="s">
        <v>153</v>
      </c>
      <c r="I97" s="12" t="s">
        <v>1206</v>
      </c>
      <c r="J97" s="15" t="s">
        <v>1207</v>
      </c>
      <c r="K97" s="11"/>
      <c r="L97" s="11"/>
      <c r="M97" s="14" t="s">
        <v>1208</v>
      </c>
      <c r="N97" s="18"/>
      <c r="O97" s="11"/>
      <c r="P97" s="11"/>
    </row>
    <row r="98" spans="7:16" x14ac:dyDescent="0.3">
      <c r="G98" t="s">
        <v>154</v>
      </c>
      <c r="I98" s="12" t="s">
        <v>1209</v>
      </c>
      <c r="J98" s="15" t="s">
        <v>1210</v>
      </c>
      <c r="K98" s="11"/>
      <c r="L98" s="11"/>
      <c r="M98" s="14" t="s">
        <v>1211</v>
      </c>
      <c r="N98" s="18"/>
      <c r="O98" s="11"/>
      <c r="P98" s="11"/>
    </row>
    <row r="99" spans="7:16" x14ac:dyDescent="0.3">
      <c r="G99" t="s">
        <v>155</v>
      </c>
      <c r="I99" s="12" t="s">
        <v>1212</v>
      </c>
      <c r="J99" s="15" t="s">
        <v>1213</v>
      </c>
      <c r="K99" s="11"/>
      <c r="L99" s="11"/>
      <c r="M99" s="14" t="s">
        <v>1214</v>
      </c>
      <c r="N99" s="18"/>
      <c r="O99" s="11"/>
      <c r="P99" s="11"/>
    </row>
    <row r="100" spans="7:16" x14ac:dyDescent="0.3">
      <c r="G100" t="s">
        <v>156</v>
      </c>
      <c r="I100" s="12" t="s">
        <v>1215</v>
      </c>
      <c r="J100" s="15" t="s">
        <v>1216</v>
      </c>
      <c r="K100" s="11"/>
      <c r="L100" s="11"/>
      <c r="M100" s="14" t="s">
        <v>1217</v>
      </c>
      <c r="N100" s="18"/>
      <c r="O100" s="11"/>
      <c r="P100" s="11"/>
    </row>
    <row r="101" spans="7:16" x14ac:dyDescent="0.3">
      <c r="G101" t="s">
        <v>157</v>
      </c>
      <c r="I101" s="12" t="s">
        <v>1218</v>
      </c>
      <c r="J101" s="15" t="s">
        <v>1219</v>
      </c>
      <c r="K101" s="11"/>
      <c r="L101" s="11"/>
      <c r="M101" s="14" t="s">
        <v>1220</v>
      </c>
      <c r="N101" s="18"/>
      <c r="O101" s="11"/>
      <c r="P101" s="11"/>
    </row>
    <row r="102" spans="7:16" x14ac:dyDescent="0.3">
      <c r="G102" t="s">
        <v>158</v>
      </c>
      <c r="I102" s="12" t="s">
        <v>1221</v>
      </c>
      <c r="J102" s="15" t="s">
        <v>1222</v>
      </c>
      <c r="K102" s="11"/>
      <c r="L102" s="11"/>
      <c r="M102" s="14" t="s">
        <v>1223</v>
      </c>
      <c r="N102" s="18"/>
      <c r="O102" s="11"/>
      <c r="P102" s="11"/>
    </row>
    <row r="103" spans="7:16" x14ac:dyDescent="0.3">
      <c r="G103" t="s">
        <v>159</v>
      </c>
      <c r="I103" s="12" t="s">
        <v>1224</v>
      </c>
      <c r="J103" s="15" t="s">
        <v>1225</v>
      </c>
      <c r="K103" s="11"/>
      <c r="L103" s="11"/>
      <c r="M103" s="14" t="s">
        <v>1226</v>
      </c>
      <c r="N103" s="18"/>
      <c r="O103" s="11"/>
      <c r="P103" s="11"/>
    </row>
    <row r="104" spans="7:16" x14ac:dyDescent="0.3">
      <c r="G104" t="s">
        <v>160</v>
      </c>
      <c r="I104" s="12" t="s">
        <v>1227</v>
      </c>
      <c r="J104" s="15" t="s">
        <v>1228</v>
      </c>
      <c r="K104" s="11"/>
      <c r="L104" s="11"/>
      <c r="M104" s="14" t="s">
        <v>1229</v>
      </c>
      <c r="N104" s="18"/>
      <c r="O104" s="11"/>
      <c r="P104" s="11"/>
    </row>
    <row r="105" spans="7:16" x14ac:dyDescent="0.3">
      <c r="G105" t="s">
        <v>161</v>
      </c>
      <c r="I105" s="12" t="s">
        <v>1230</v>
      </c>
      <c r="J105" s="15" t="s">
        <v>1231</v>
      </c>
      <c r="K105" s="11"/>
      <c r="L105" s="11"/>
      <c r="M105" s="14" t="s">
        <v>1232</v>
      </c>
      <c r="N105" s="18"/>
      <c r="O105" s="11"/>
      <c r="P105" s="11"/>
    </row>
    <row r="106" spans="7:16" x14ac:dyDescent="0.3">
      <c r="G106" t="s">
        <v>162</v>
      </c>
      <c r="I106" s="12" t="s">
        <v>1233</v>
      </c>
      <c r="J106" s="15" t="s">
        <v>1234</v>
      </c>
      <c r="K106" s="11"/>
      <c r="L106" s="11"/>
      <c r="M106" s="14" t="s">
        <v>1235</v>
      </c>
      <c r="N106" s="18"/>
      <c r="O106" s="11"/>
      <c r="P106" s="11"/>
    </row>
    <row r="107" spans="7:16" x14ac:dyDescent="0.3">
      <c r="G107" t="s">
        <v>163</v>
      </c>
      <c r="I107" s="12" t="s">
        <v>1236</v>
      </c>
      <c r="J107" s="15" t="s">
        <v>1237</v>
      </c>
      <c r="K107" s="11"/>
      <c r="L107" s="11"/>
      <c r="M107" s="14" t="s">
        <v>1238</v>
      </c>
      <c r="N107" s="18"/>
      <c r="O107" s="11"/>
      <c r="P107" s="11"/>
    </row>
    <row r="108" spans="7:16" x14ac:dyDescent="0.3">
      <c r="G108" t="s">
        <v>164</v>
      </c>
      <c r="I108" s="12" t="s">
        <v>1239</v>
      </c>
      <c r="J108" s="15" t="s">
        <v>1240</v>
      </c>
      <c r="K108" s="11"/>
      <c r="L108" s="11"/>
      <c r="M108" s="16" t="s">
        <v>1088</v>
      </c>
      <c r="N108" s="19"/>
      <c r="O108" s="11"/>
      <c r="P108" s="11"/>
    </row>
    <row r="109" spans="7:16" x14ac:dyDescent="0.3">
      <c r="G109" t="s">
        <v>165</v>
      </c>
      <c r="I109" s="12" t="s">
        <v>1241</v>
      </c>
      <c r="J109" s="15" t="s">
        <v>1242</v>
      </c>
      <c r="K109" s="11"/>
      <c r="L109" s="11"/>
      <c r="M109" s="11"/>
      <c r="N109" s="11"/>
      <c r="O109" s="11"/>
      <c r="P109" s="11"/>
    </row>
    <row r="110" spans="7:16" x14ac:dyDescent="0.3">
      <c r="G110" t="s">
        <v>166</v>
      </c>
      <c r="I110" s="12" t="s">
        <v>1243</v>
      </c>
      <c r="J110" s="15" t="s">
        <v>1244</v>
      </c>
      <c r="K110" s="11"/>
      <c r="L110" s="11"/>
      <c r="M110" s="11"/>
      <c r="N110" s="11"/>
      <c r="O110" s="11"/>
      <c r="P110" s="11"/>
    </row>
    <row r="111" spans="7:16" x14ac:dyDescent="0.3">
      <c r="G111" t="s">
        <v>167</v>
      </c>
      <c r="I111" s="12" t="s">
        <v>1245</v>
      </c>
      <c r="J111" s="15" t="s">
        <v>1246</v>
      </c>
      <c r="K111" s="11"/>
      <c r="L111" s="11"/>
      <c r="M111" s="11"/>
      <c r="N111" s="11"/>
      <c r="O111" s="11"/>
      <c r="P111" s="11"/>
    </row>
    <row r="112" spans="7:16" x14ac:dyDescent="0.3">
      <c r="G112" t="s">
        <v>168</v>
      </c>
      <c r="I112" s="12" t="s">
        <v>1247</v>
      </c>
      <c r="J112" s="15" t="s">
        <v>1248</v>
      </c>
      <c r="K112" s="11"/>
      <c r="L112" s="11"/>
      <c r="M112" s="11"/>
      <c r="N112" s="11"/>
      <c r="O112" s="11"/>
      <c r="P112" s="11"/>
    </row>
    <row r="113" spans="7:16" x14ac:dyDescent="0.3">
      <c r="G113" t="s">
        <v>169</v>
      </c>
      <c r="I113" s="12" t="s">
        <v>1249</v>
      </c>
      <c r="J113" s="15" t="s">
        <v>1250</v>
      </c>
      <c r="K113" s="11"/>
      <c r="L113" s="11"/>
      <c r="M113" s="11"/>
      <c r="N113" s="11"/>
      <c r="O113" s="11"/>
      <c r="P113" s="11"/>
    </row>
    <row r="114" spans="7:16" x14ac:dyDescent="0.3">
      <c r="G114" t="s">
        <v>170</v>
      </c>
      <c r="I114" s="12" t="s">
        <v>1251</v>
      </c>
      <c r="J114" s="15" t="s">
        <v>1252</v>
      </c>
      <c r="K114" s="11"/>
      <c r="L114" s="11"/>
      <c r="M114" s="11"/>
      <c r="N114" s="11"/>
      <c r="O114" s="11"/>
      <c r="P114" s="11"/>
    </row>
    <row r="115" spans="7:16" x14ac:dyDescent="0.3">
      <c r="G115" t="s">
        <v>171</v>
      </c>
      <c r="I115" s="12" t="s">
        <v>1253</v>
      </c>
      <c r="J115" s="15" t="s">
        <v>1254</v>
      </c>
      <c r="K115" s="11"/>
      <c r="L115" s="11"/>
      <c r="M115" s="11"/>
      <c r="N115" s="11"/>
      <c r="O115" s="11"/>
      <c r="P115" s="11"/>
    </row>
    <row r="116" spans="7:16" x14ac:dyDescent="0.3">
      <c r="G116" t="s">
        <v>172</v>
      </c>
      <c r="I116" s="12" t="s">
        <v>1255</v>
      </c>
      <c r="J116" s="15" t="s">
        <v>1256</v>
      </c>
      <c r="K116" s="11"/>
      <c r="L116" s="11"/>
      <c r="M116" s="11"/>
      <c r="N116" s="11"/>
      <c r="O116" s="11"/>
      <c r="P116" s="11"/>
    </row>
    <row r="117" spans="7:16" x14ac:dyDescent="0.3">
      <c r="G117" t="s">
        <v>173</v>
      </c>
      <c r="I117" s="12" t="s">
        <v>1257</v>
      </c>
      <c r="J117" s="15" t="s">
        <v>1258</v>
      </c>
      <c r="K117" s="11"/>
      <c r="L117" s="11"/>
      <c r="M117" s="11"/>
      <c r="N117" s="11"/>
      <c r="O117" s="11"/>
      <c r="P117" s="11"/>
    </row>
    <row r="118" spans="7:16" x14ac:dyDescent="0.3">
      <c r="G118" t="s">
        <v>174</v>
      </c>
      <c r="I118" s="12" t="s">
        <v>1259</v>
      </c>
      <c r="J118" s="15" t="s">
        <v>1260</v>
      </c>
      <c r="K118" s="11"/>
      <c r="L118" s="11"/>
      <c r="M118" s="11"/>
      <c r="N118" s="11"/>
      <c r="O118" s="11"/>
      <c r="P118" s="11"/>
    </row>
    <row r="119" spans="7:16" x14ac:dyDescent="0.3">
      <c r="G119" t="s">
        <v>175</v>
      </c>
      <c r="I119" s="12" t="s">
        <v>1261</v>
      </c>
      <c r="J119" s="15" t="s">
        <v>1262</v>
      </c>
      <c r="K119" s="11"/>
      <c r="L119" s="11"/>
      <c r="M119" s="11"/>
      <c r="N119" s="11"/>
      <c r="O119" s="11"/>
      <c r="P119" s="11"/>
    </row>
    <row r="120" spans="7:16" x14ac:dyDescent="0.3">
      <c r="G120" t="s">
        <v>176</v>
      </c>
      <c r="I120" s="12" t="s">
        <v>1263</v>
      </c>
      <c r="J120" s="15" t="s">
        <v>1264</v>
      </c>
      <c r="K120" s="11"/>
      <c r="L120" s="11"/>
      <c r="M120" s="11"/>
      <c r="N120" s="11"/>
      <c r="O120" s="11"/>
      <c r="P120" s="11"/>
    </row>
    <row r="121" spans="7:16" x14ac:dyDescent="0.3">
      <c r="G121" t="s">
        <v>177</v>
      </c>
      <c r="I121" s="12" t="s">
        <v>1265</v>
      </c>
      <c r="J121" s="15" t="s">
        <v>1266</v>
      </c>
      <c r="K121" s="11"/>
      <c r="L121" s="11"/>
      <c r="M121" s="11"/>
      <c r="N121" s="11"/>
      <c r="O121" s="11"/>
      <c r="P121" s="11"/>
    </row>
    <row r="122" spans="7:16" x14ac:dyDescent="0.3">
      <c r="G122" t="s">
        <v>178</v>
      </c>
      <c r="I122" s="12" t="s">
        <v>1267</v>
      </c>
      <c r="J122" s="15" t="s">
        <v>1268</v>
      </c>
      <c r="K122" s="11"/>
      <c r="L122" s="11"/>
      <c r="M122" s="11"/>
      <c r="N122" s="11"/>
      <c r="O122" s="11"/>
      <c r="P122" s="11"/>
    </row>
    <row r="123" spans="7:16" x14ac:dyDescent="0.3">
      <c r="G123" t="s">
        <v>179</v>
      </c>
      <c r="I123" s="12" t="s">
        <v>1269</v>
      </c>
      <c r="J123" s="15" t="s">
        <v>1270</v>
      </c>
      <c r="K123" s="11"/>
      <c r="L123" s="11"/>
      <c r="M123" s="11"/>
      <c r="N123" s="11"/>
      <c r="O123" s="11"/>
      <c r="P123" s="11"/>
    </row>
    <row r="124" spans="7:16" x14ac:dyDescent="0.3">
      <c r="G124" t="s">
        <v>180</v>
      </c>
      <c r="I124" s="12" t="s">
        <v>1271</v>
      </c>
      <c r="J124" s="15" t="s">
        <v>1272</v>
      </c>
      <c r="K124" s="11"/>
      <c r="L124" s="11"/>
      <c r="M124" s="11"/>
      <c r="N124" s="11"/>
      <c r="O124" s="11"/>
      <c r="P124" s="11"/>
    </row>
    <row r="125" spans="7:16" x14ac:dyDescent="0.3">
      <c r="G125" t="s">
        <v>181</v>
      </c>
      <c r="I125" s="12" t="s">
        <v>1273</v>
      </c>
      <c r="J125" s="15" t="s">
        <v>1274</v>
      </c>
      <c r="K125" s="11"/>
      <c r="L125" s="11"/>
      <c r="M125" s="11"/>
      <c r="N125" s="11"/>
      <c r="O125" s="11"/>
      <c r="P125" s="11"/>
    </row>
    <row r="126" spans="7:16" x14ac:dyDescent="0.3">
      <c r="G126" t="s">
        <v>182</v>
      </c>
      <c r="I126" s="12" t="s">
        <v>1275</v>
      </c>
      <c r="J126" s="15" t="s">
        <v>1276</v>
      </c>
      <c r="K126" s="11"/>
      <c r="L126" s="11"/>
      <c r="M126" s="11"/>
      <c r="N126" s="11"/>
      <c r="O126" s="11"/>
      <c r="P126" s="11"/>
    </row>
    <row r="127" spans="7:16" x14ac:dyDescent="0.3">
      <c r="G127" t="s">
        <v>183</v>
      </c>
      <c r="I127" s="12" t="s">
        <v>1277</v>
      </c>
      <c r="J127" s="15" t="s">
        <v>1278</v>
      </c>
      <c r="K127" s="11"/>
      <c r="L127" s="11"/>
      <c r="M127" s="11"/>
      <c r="N127" s="11"/>
      <c r="O127" s="11"/>
      <c r="P127" s="11"/>
    </row>
    <row r="128" spans="7:16" x14ac:dyDescent="0.3">
      <c r="G128" t="s">
        <v>184</v>
      </c>
      <c r="I128" s="12" t="s">
        <v>1279</v>
      </c>
      <c r="J128" s="15" t="s">
        <v>1280</v>
      </c>
      <c r="K128" s="11"/>
      <c r="L128" s="11"/>
      <c r="M128" s="11"/>
      <c r="N128" s="11"/>
      <c r="O128" s="11"/>
      <c r="P128" s="11"/>
    </row>
    <row r="129" spans="7:16" x14ac:dyDescent="0.3">
      <c r="G129" t="s">
        <v>185</v>
      </c>
      <c r="I129" s="12" t="s">
        <v>1281</v>
      </c>
      <c r="J129" s="15" t="s">
        <v>1282</v>
      </c>
      <c r="K129" s="11"/>
      <c r="L129" s="11"/>
      <c r="M129" s="11"/>
      <c r="N129" s="11"/>
      <c r="O129" s="11"/>
      <c r="P129" s="11"/>
    </row>
    <row r="130" spans="7:16" x14ac:dyDescent="0.3">
      <c r="G130" t="s">
        <v>186</v>
      </c>
      <c r="I130" s="12" t="s">
        <v>1283</v>
      </c>
      <c r="J130" s="15" t="s">
        <v>1284</v>
      </c>
      <c r="K130" s="11"/>
      <c r="L130" s="11"/>
      <c r="M130" s="11"/>
      <c r="N130" s="11"/>
      <c r="O130" s="11"/>
      <c r="P130" s="11"/>
    </row>
    <row r="131" spans="7:16" x14ac:dyDescent="0.3">
      <c r="G131" t="s">
        <v>187</v>
      </c>
      <c r="I131" s="12" t="s">
        <v>1285</v>
      </c>
      <c r="J131" s="15" t="s">
        <v>1286</v>
      </c>
      <c r="K131" s="11"/>
      <c r="L131" s="11"/>
      <c r="M131" s="11"/>
      <c r="N131" s="11"/>
      <c r="O131" s="11"/>
      <c r="P131" s="11"/>
    </row>
    <row r="132" spans="7:16" x14ac:dyDescent="0.3">
      <c r="G132" t="s">
        <v>188</v>
      </c>
      <c r="I132" s="12" t="s">
        <v>1287</v>
      </c>
      <c r="J132" s="15" t="s">
        <v>1288</v>
      </c>
      <c r="K132" s="11"/>
      <c r="L132" s="11"/>
      <c r="M132" s="11"/>
      <c r="N132" s="11"/>
      <c r="O132" s="11"/>
      <c r="P132" s="11"/>
    </row>
    <row r="133" spans="7:16" x14ac:dyDescent="0.3">
      <c r="G133" t="s">
        <v>189</v>
      </c>
      <c r="I133" s="12" t="s">
        <v>1289</v>
      </c>
      <c r="J133" s="15" t="s">
        <v>1290</v>
      </c>
      <c r="K133" s="11"/>
      <c r="L133" s="11"/>
      <c r="M133" s="11"/>
      <c r="N133" s="11"/>
      <c r="O133" s="11"/>
      <c r="P133" s="11"/>
    </row>
    <row r="134" spans="7:16" x14ac:dyDescent="0.3">
      <c r="G134" t="s">
        <v>190</v>
      </c>
      <c r="I134" s="12" t="s">
        <v>1291</v>
      </c>
      <c r="J134" s="15" t="s">
        <v>1292</v>
      </c>
      <c r="K134" s="11"/>
      <c r="L134" s="11"/>
      <c r="M134" s="11"/>
      <c r="N134" s="11"/>
      <c r="O134" s="11"/>
      <c r="P134" s="11"/>
    </row>
    <row r="135" spans="7:16" x14ac:dyDescent="0.3">
      <c r="G135" t="s">
        <v>191</v>
      </c>
      <c r="I135" s="12" t="s">
        <v>1293</v>
      </c>
      <c r="J135" s="15" t="s">
        <v>1294</v>
      </c>
      <c r="K135" s="11"/>
      <c r="L135" s="11"/>
      <c r="M135" s="11"/>
      <c r="N135" s="11"/>
      <c r="O135" s="11"/>
      <c r="P135" s="11"/>
    </row>
    <row r="136" spans="7:16" x14ac:dyDescent="0.3">
      <c r="G136" t="s">
        <v>192</v>
      </c>
      <c r="I136" s="12" t="s">
        <v>1295</v>
      </c>
      <c r="J136" s="15" t="s">
        <v>1296</v>
      </c>
      <c r="K136" s="11"/>
      <c r="L136" s="11"/>
      <c r="M136" s="11"/>
      <c r="N136" s="11"/>
      <c r="O136" s="11"/>
      <c r="P136" s="11"/>
    </row>
    <row r="137" spans="7:16" x14ac:dyDescent="0.3">
      <c r="G137" t="s">
        <v>193</v>
      </c>
      <c r="I137" s="12" t="s">
        <v>1297</v>
      </c>
      <c r="J137" s="15" t="s">
        <v>1298</v>
      </c>
      <c r="K137" s="11"/>
      <c r="L137" s="11"/>
      <c r="M137" s="11"/>
      <c r="N137" s="11"/>
      <c r="O137" s="11"/>
      <c r="P137" s="11"/>
    </row>
    <row r="138" spans="7:16" x14ac:dyDescent="0.3">
      <c r="G138" t="s">
        <v>194</v>
      </c>
      <c r="I138" s="12" t="s">
        <v>1299</v>
      </c>
      <c r="J138" s="15" t="s">
        <v>1300</v>
      </c>
      <c r="K138" s="11"/>
      <c r="L138" s="11"/>
      <c r="M138" s="11"/>
      <c r="N138" s="11"/>
      <c r="O138" s="11"/>
      <c r="P138" s="11"/>
    </row>
    <row r="139" spans="7:16" x14ac:dyDescent="0.3">
      <c r="G139" t="s">
        <v>195</v>
      </c>
      <c r="I139" s="12" t="s">
        <v>1301</v>
      </c>
      <c r="J139" s="15" t="s">
        <v>1302</v>
      </c>
      <c r="K139" s="11"/>
      <c r="L139" s="11"/>
      <c r="M139" s="11"/>
      <c r="N139" s="11"/>
      <c r="O139" s="11"/>
      <c r="P139" s="11"/>
    </row>
    <row r="140" spans="7:16" x14ac:dyDescent="0.3">
      <c r="G140" t="s">
        <v>196</v>
      </c>
      <c r="I140" s="12" t="s">
        <v>1303</v>
      </c>
      <c r="J140" s="15" t="s">
        <v>1304</v>
      </c>
      <c r="K140" s="11"/>
      <c r="L140" s="11"/>
      <c r="M140" s="11"/>
      <c r="N140" s="11"/>
      <c r="O140" s="11"/>
      <c r="P140" s="11"/>
    </row>
    <row r="141" spans="7:16" x14ac:dyDescent="0.3">
      <c r="G141" t="s">
        <v>197</v>
      </c>
      <c r="I141" s="12" t="s">
        <v>1305</v>
      </c>
      <c r="J141" s="15" t="s">
        <v>1306</v>
      </c>
      <c r="K141" s="11"/>
      <c r="L141" s="11"/>
      <c r="M141" s="11"/>
      <c r="N141" s="11"/>
      <c r="O141" s="11"/>
      <c r="P141" s="11"/>
    </row>
    <row r="142" spans="7:16" x14ac:dyDescent="0.3">
      <c r="G142" t="s">
        <v>198</v>
      </c>
      <c r="I142" s="12" t="s">
        <v>1307</v>
      </c>
      <c r="J142" s="15" t="s">
        <v>1308</v>
      </c>
      <c r="K142" s="11"/>
      <c r="L142" s="11"/>
      <c r="M142" s="11"/>
      <c r="N142" s="11"/>
      <c r="O142" s="11"/>
      <c r="P142" s="11"/>
    </row>
    <row r="143" spans="7:16" x14ac:dyDescent="0.3">
      <c r="G143" t="s">
        <v>199</v>
      </c>
      <c r="I143" s="12" t="s">
        <v>1309</v>
      </c>
      <c r="J143" s="15" t="s">
        <v>1310</v>
      </c>
      <c r="K143" s="11"/>
      <c r="L143" s="11"/>
      <c r="M143" s="11"/>
      <c r="N143" s="11"/>
      <c r="O143" s="11"/>
      <c r="P143" s="11"/>
    </row>
    <row r="144" spans="7:16" x14ac:dyDescent="0.3">
      <c r="G144" t="s">
        <v>200</v>
      </c>
      <c r="I144" s="12" t="s">
        <v>1311</v>
      </c>
      <c r="J144" s="15" t="s">
        <v>1312</v>
      </c>
      <c r="K144" s="11"/>
      <c r="L144" s="11"/>
      <c r="M144" s="11"/>
      <c r="N144" s="11"/>
      <c r="O144" s="11"/>
      <c r="P144" s="11"/>
    </row>
    <row r="145" spans="7:16" x14ac:dyDescent="0.3">
      <c r="G145" t="s">
        <v>201</v>
      </c>
      <c r="I145" s="12" t="s">
        <v>1313</v>
      </c>
      <c r="J145" s="15" t="s">
        <v>1314</v>
      </c>
      <c r="K145" s="11"/>
      <c r="L145" s="11"/>
      <c r="M145" s="11"/>
      <c r="N145" s="11"/>
      <c r="O145" s="11"/>
      <c r="P145" s="11"/>
    </row>
    <row r="146" spans="7:16" x14ac:dyDescent="0.3">
      <c r="G146" t="s">
        <v>202</v>
      </c>
      <c r="I146" s="12" t="s">
        <v>1315</v>
      </c>
      <c r="J146" s="15" t="s">
        <v>1316</v>
      </c>
      <c r="K146" s="11"/>
      <c r="L146" s="11"/>
      <c r="M146" s="11"/>
      <c r="N146" s="11"/>
      <c r="O146" s="11"/>
      <c r="P146" s="11"/>
    </row>
    <row r="147" spans="7:16" x14ac:dyDescent="0.3">
      <c r="G147" t="s">
        <v>203</v>
      </c>
      <c r="I147" s="12" t="s">
        <v>1317</v>
      </c>
      <c r="J147" s="15" t="s">
        <v>1318</v>
      </c>
      <c r="K147" s="11"/>
      <c r="L147" s="11"/>
      <c r="M147" s="11"/>
      <c r="N147" s="11"/>
      <c r="O147" s="11"/>
      <c r="P147" s="11"/>
    </row>
    <row r="148" spans="7:16" x14ac:dyDescent="0.3">
      <c r="G148" t="s">
        <v>204</v>
      </c>
      <c r="I148" s="12" t="s">
        <v>1319</v>
      </c>
      <c r="J148" s="15" t="s">
        <v>1320</v>
      </c>
      <c r="K148" s="11"/>
      <c r="L148" s="11"/>
      <c r="M148" s="11"/>
      <c r="N148" s="11"/>
      <c r="O148" s="11"/>
      <c r="P148" s="11"/>
    </row>
    <row r="149" spans="7:16" x14ac:dyDescent="0.3">
      <c r="G149" t="s">
        <v>205</v>
      </c>
      <c r="I149" s="12" t="s">
        <v>1321</v>
      </c>
      <c r="J149" s="15" t="s">
        <v>1322</v>
      </c>
      <c r="K149" s="11"/>
      <c r="L149" s="11"/>
      <c r="M149" s="11"/>
      <c r="N149" s="11"/>
      <c r="O149" s="11"/>
      <c r="P149" s="11"/>
    </row>
    <row r="150" spans="7:16" x14ac:dyDescent="0.3">
      <c r="G150" t="s">
        <v>206</v>
      </c>
      <c r="I150" s="12" t="s">
        <v>1323</v>
      </c>
      <c r="J150" s="15" t="s">
        <v>1324</v>
      </c>
      <c r="K150" s="11"/>
      <c r="L150" s="11"/>
      <c r="M150" s="11"/>
      <c r="N150" s="11"/>
      <c r="O150" s="11"/>
      <c r="P150" s="11"/>
    </row>
    <row r="151" spans="7:16" x14ac:dyDescent="0.3">
      <c r="G151" t="s">
        <v>207</v>
      </c>
      <c r="I151" s="12" t="s">
        <v>1325</v>
      </c>
      <c r="J151" s="15" t="s">
        <v>1326</v>
      </c>
      <c r="K151" s="11"/>
      <c r="L151" s="11"/>
      <c r="M151" s="11"/>
      <c r="N151" s="11"/>
      <c r="O151" s="11"/>
      <c r="P151" s="11"/>
    </row>
    <row r="152" spans="7:16" x14ac:dyDescent="0.3">
      <c r="G152" t="s">
        <v>208</v>
      </c>
      <c r="I152" s="12" t="s">
        <v>1327</v>
      </c>
      <c r="J152" s="15" t="s">
        <v>1328</v>
      </c>
      <c r="K152" s="11"/>
      <c r="L152" s="11"/>
      <c r="M152" s="11"/>
      <c r="N152" s="11"/>
      <c r="O152" s="11"/>
      <c r="P152" s="11"/>
    </row>
    <row r="153" spans="7:16" x14ac:dyDescent="0.3">
      <c r="G153" t="s">
        <v>209</v>
      </c>
      <c r="I153" s="12" t="s">
        <v>1329</v>
      </c>
      <c r="J153" s="15" t="s">
        <v>1330</v>
      </c>
      <c r="K153" s="11"/>
      <c r="L153" s="11"/>
      <c r="M153" s="11"/>
      <c r="N153" s="11"/>
      <c r="O153" s="11"/>
      <c r="P153" s="11"/>
    </row>
    <row r="154" spans="7:16" x14ac:dyDescent="0.3">
      <c r="G154" t="s">
        <v>210</v>
      </c>
      <c r="I154" s="12" t="s">
        <v>1331</v>
      </c>
      <c r="J154" s="15" t="s">
        <v>1332</v>
      </c>
      <c r="K154" s="11"/>
      <c r="L154" s="11"/>
      <c r="M154" s="11"/>
      <c r="N154" s="11"/>
      <c r="O154" s="11"/>
      <c r="P154" s="11"/>
    </row>
    <row r="155" spans="7:16" x14ac:dyDescent="0.3">
      <c r="G155" t="s">
        <v>211</v>
      </c>
      <c r="I155" s="12" t="s">
        <v>1333</v>
      </c>
      <c r="J155" s="15" t="s">
        <v>1334</v>
      </c>
      <c r="K155" s="11"/>
      <c r="L155" s="11"/>
      <c r="M155" s="11"/>
      <c r="N155" s="11"/>
      <c r="O155" s="11"/>
      <c r="P155" s="11"/>
    </row>
    <row r="156" spans="7:16" x14ac:dyDescent="0.3">
      <c r="G156" t="s">
        <v>212</v>
      </c>
      <c r="I156" s="12" t="s">
        <v>1335</v>
      </c>
      <c r="J156" s="15" t="s">
        <v>1336</v>
      </c>
      <c r="K156" s="11"/>
      <c r="L156" s="11"/>
      <c r="M156" s="11"/>
      <c r="N156" s="11"/>
      <c r="O156" s="11"/>
      <c r="P156" s="11"/>
    </row>
    <row r="157" spans="7:16" x14ac:dyDescent="0.3">
      <c r="G157" t="s">
        <v>213</v>
      </c>
      <c r="I157" s="12" t="s">
        <v>1337</v>
      </c>
      <c r="J157" s="15" t="s">
        <v>1338</v>
      </c>
      <c r="K157" s="11"/>
      <c r="L157" s="11"/>
      <c r="M157" s="11"/>
      <c r="N157" s="11"/>
      <c r="O157" s="11"/>
      <c r="P157" s="11"/>
    </row>
    <row r="158" spans="7:16" x14ac:dyDescent="0.3">
      <c r="G158" t="s">
        <v>214</v>
      </c>
      <c r="I158" s="12" t="s">
        <v>1339</v>
      </c>
      <c r="J158" s="15" t="s">
        <v>1340</v>
      </c>
      <c r="K158" s="11"/>
      <c r="L158" s="11"/>
      <c r="M158" s="11"/>
      <c r="N158" s="11"/>
      <c r="O158" s="11"/>
      <c r="P158" s="11"/>
    </row>
    <row r="159" spans="7:16" x14ac:dyDescent="0.3">
      <c r="G159" t="s">
        <v>215</v>
      </c>
      <c r="I159" s="12" t="s">
        <v>1341</v>
      </c>
      <c r="J159" s="15" t="s">
        <v>1342</v>
      </c>
      <c r="K159" s="11"/>
      <c r="L159" s="11"/>
      <c r="M159" s="11"/>
      <c r="N159" s="11"/>
      <c r="O159" s="11"/>
      <c r="P159" s="11"/>
    </row>
    <row r="160" spans="7:16" x14ac:dyDescent="0.3">
      <c r="G160" t="s">
        <v>216</v>
      </c>
      <c r="I160" s="12" t="s">
        <v>1343</v>
      </c>
      <c r="J160" s="15" t="s">
        <v>1344</v>
      </c>
      <c r="K160" s="11"/>
      <c r="L160" s="11"/>
      <c r="M160" s="11"/>
      <c r="N160" s="11"/>
      <c r="O160" s="11"/>
      <c r="P160" s="11"/>
    </row>
    <row r="161" spans="7:16" x14ac:dyDescent="0.3">
      <c r="G161" t="s">
        <v>217</v>
      </c>
      <c r="I161" s="12" t="s">
        <v>1345</v>
      </c>
      <c r="J161" s="15" t="s">
        <v>1346</v>
      </c>
      <c r="K161" s="11"/>
      <c r="L161" s="11"/>
      <c r="M161" s="11"/>
      <c r="N161" s="11"/>
      <c r="O161" s="11"/>
      <c r="P161" s="11"/>
    </row>
    <row r="162" spans="7:16" x14ac:dyDescent="0.3">
      <c r="G162" t="s">
        <v>218</v>
      </c>
      <c r="I162" s="12" t="s">
        <v>1347</v>
      </c>
      <c r="J162" s="15" t="s">
        <v>1348</v>
      </c>
      <c r="K162" s="11"/>
      <c r="L162" s="11"/>
      <c r="M162" s="11"/>
      <c r="N162" s="11"/>
      <c r="O162" s="11"/>
      <c r="P162" s="11"/>
    </row>
    <row r="163" spans="7:16" x14ac:dyDescent="0.3">
      <c r="G163" t="s">
        <v>219</v>
      </c>
      <c r="I163" s="12" t="s">
        <v>1349</v>
      </c>
      <c r="J163" s="15" t="s">
        <v>1350</v>
      </c>
      <c r="K163" s="11"/>
      <c r="L163" s="11"/>
      <c r="M163" s="11"/>
      <c r="N163" s="11"/>
      <c r="O163" s="11"/>
      <c r="P163" s="11"/>
    </row>
    <row r="164" spans="7:16" x14ac:dyDescent="0.3">
      <c r="G164" t="s">
        <v>220</v>
      </c>
      <c r="I164" s="12" t="s">
        <v>1351</v>
      </c>
      <c r="J164" s="15" t="s">
        <v>1352</v>
      </c>
      <c r="K164" s="11"/>
      <c r="L164" s="11"/>
      <c r="M164" s="11"/>
      <c r="N164" s="11"/>
      <c r="O164" s="11"/>
      <c r="P164" s="11"/>
    </row>
    <row r="165" spans="7:16" x14ac:dyDescent="0.3">
      <c r="G165" t="s">
        <v>221</v>
      </c>
      <c r="I165" s="12" t="s">
        <v>1353</v>
      </c>
      <c r="J165" s="15" t="s">
        <v>1354</v>
      </c>
      <c r="K165" s="11"/>
      <c r="L165" s="11"/>
      <c r="M165" s="11"/>
      <c r="N165" s="11"/>
      <c r="O165" s="11"/>
      <c r="P165" s="11"/>
    </row>
    <row r="166" spans="7:16" x14ac:dyDescent="0.3">
      <c r="G166" t="s">
        <v>222</v>
      </c>
      <c r="I166" s="12" t="s">
        <v>1355</v>
      </c>
      <c r="J166" s="15" t="s">
        <v>1356</v>
      </c>
      <c r="K166" s="11"/>
      <c r="L166" s="11"/>
      <c r="M166" s="11"/>
      <c r="N166" s="11"/>
      <c r="O166" s="11"/>
      <c r="P166" s="11"/>
    </row>
    <row r="167" spans="7:16" x14ac:dyDescent="0.3">
      <c r="G167" t="s">
        <v>223</v>
      </c>
      <c r="I167" s="12" t="s">
        <v>1357</v>
      </c>
      <c r="J167" s="15" t="s">
        <v>1358</v>
      </c>
      <c r="K167" s="11"/>
      <c r="L167" s="11"/>
      <c r="M167" s="11"/>
      <c r="N167" s="11"/>
      <c r="O167" s="11"/>
      <c r="P167" s="11"/>
    </row>
    <row r="168" spans="7:16" x14ac:dyDescent="0.3">
      <c r="G168" t="s">
        <v>224</v>
      </c>
      <c r="I168" s="12" t="s">
        <v>1359</v>
      </c>
      <c r="J168" s="15" t="s">
        <v>1360</v>
      </c>
      <c r="K168" s="11"/>
      <c r="L168" s="11"/>
      <c r="M168" s="11"/>
      <c r="N168" s="11"/>
      <c r="O168" s="11"/>
      <c r="P168" s="11"/>
    </row>
    <row r="169" spans="7:16" x14ac:dyDescent="0.3">
      <c r="G169" t="s">
        <v>225</v>
      </c>
      <c r="I169" s="12" t="s">
        <v>1361</v>
      </c>
      <c r="J169" s="15" t="s">
        <v>1362</v>
      </c>
      <c r="K169" s="11"/>
      <c r="L169" s="11"/>
      <c r="M169" s="11"/>
      <c r="N169" s="11"/>
      <c r="O169" s="11"/>
      <c r="P169" s="11"/>
    </row>
    <row r="170" spans="7:16" x14ac:dyDescent="0.3">
      <c r="G170" t="s">
        <v>226</v>
      </c>
      <c r="I170" s="12" t="s">
        <v>1363</v>
      </c>
      <c r="J170" s="15" t="s">
        <v>1364</v>
      </c>
      <c r="K170" s="11"/>
      <c r="L170" s="11"/>
      <c r="M170" s="11"/>
      <c r="N170" s="11"/>
      <c r="O170" s="11"/>
      <c r="P170" s="11"/>
    </row>
    <row r="171" spans="7:16" x14ac:dyDescent="0.3">
      <c r="G171" t="s">
        <v>5</v>
      </c>
      <c r="I171" s="12" t="s">
        <v>1365</v>
      </c>
      <c r="J171" s="15" t="s">
        <v>1366</v>
      </c>
      <c r="K171" s="11"/>
      <c r="L171" s="11"/>
      <c r="M171" s="11"/>
      <c r="N171" s="11"/>
      <c r="O171" s="11"/>
      <c r="P171" s="11"/>
    </row>
    <row r="172" spans="7:16" x14ac:dyDescent="0.3">
      <c r="G172" t="s">
        <v>227</v>
      </c>
      <c r="I172" s="12" t="s">
        <v>1367</v>
      </c>
      <c r="J172" s="15" t="s">
        <v>1368</v>
      </c>
      <c r="K172" s="11"/>
      <c r="L172" s="11"/>
      <c r="M172" s="11"/>
      <c r="N172" s="11"/>
      <c r="O172" s="11"/>
      <c r="P172" s="11"/>
    </row>
    <row r="173" spans="7:16" x14ac:dyDescent="0.3">
      <c r="G173" t="s">
        <v>228</v>
      </c>
      <c r="I173" s="12" t="s">
        <v>1369</v>
      </c>
      <c r="J173" s="15" t="s">
        <v>1370</v>
      </c>
      <c r="K173" s="11"/>
      <c r="L173" s="11"/>
      <c r="M173" s="11"/>
      <c r="N173" s="11"/>
      <c r="O173" s="11"/>
      <c r="P173" s="11"/>
    </row>
    <row r="174" spans="7:16" x14ac:dyDescent="0.3">
      <c r="G174" t="s">
        <v>229</v>
      </c>
      <c r="I174" s="12" t="s">
        <v>1371</v>
      </c>
      <c r="J174" s="15" t="s">
        <v>1372</v>
      </c>
      <c r="K174" s="11"/>
      <c r="L174" s="11"/>
      <c r="M174" s="11"/>
      <c r="N174" s="11"/>
      <c r="O174" s="11"/>
      <c r="P174" s="11"/>
    </row>
    <row r="175" spans="7:16" x14ac:dyDescent="0.3">
      <c r="G175" t="s">
        <v>230</v>
      </c>
      <c r="I175" s="12" t="s">
        <v>1373</v>
      </c>
      <c r="J175" s="15" t="s">
        <v>1374</v>
      </c>
      <c r="K175" s="11"/>
      <c r="L175" s="11"/>
      <c r="M175" s="11"/>
      <c r="N175" s="11"/>
      <c r="O175" s="11"/>
      <c r="P175" s="11"/>
    </row>
    <row r="176" spans="7:16" x14ac:dyDescent="0.3">
      <c r="G176" t="s">
        <v>231</v>
      </c>
      <c r="I176" s="12" t="s">
        <v>1375</v>
      </c>
      <c r="J176" s="15" t="s">
        <v>1376</v>
      </c>
      <c r="K176" s="11"/>
      <c r="L176" s="11"/>
      <c r="M176" s="11"/>
      <c r="N176" s="11"/>
      <c r="O176" s="11"/>
      <c r="P176" s="11"/>
    </row>
    <row r="177" spans="7:16" x14ac:dyDescent="0.3">
      <c r="G177" t="s">
        <v>232</v>
      </c>
      <c r="I177" s="12" t="s">
        <v>1377</v>
      </c>
      <c r="J177" s="15" t="s">
        <v>1378</v>
      </c>
      <c r="K177" s="11"/>
      <c r="L177" s="11"/>
      <c r="M177" s="11"/>
      <c r="N177" s="11"/>
      <c r="O177" s="11"/>
      <c r="P177" s="11"/>
    </row>
    <row r="178" spans="7:16" x14ac:dyDescent="0.3">
      <c r="G178" t="s">
        <v>233</v>
      </c>
      <c r="I178" s="12" t="s">
        <v>1379</v>
      </c>
      <c r="J178" s="15" t="s">
        <v>1380</v>
      </c>
      <c r="K178" s="11"/>
      <c r="L178" s="11"/>
      <c r="M178" s="11"/>
      <c r="N178" s="11"/>
      <c r="O178" s="11"/>
      <c r="P178" s="11"/>
    </row>
    <row r="179" spans="7:16" x14ac:dyDescent="0.3">
      <c r="G179" t="s">
        <v>234</v>
      </c>
      <c r="I179" s="12" t="s">
        <v>1381</v>
      </c>
      <c r="J179" s="15" t="s">
        <v>1382</v>
      </c>
      <c r="K179" s="11"/>
      <c r="L179" s="11"/>
      <c r="M179" s="11"/>
      <c r="N179" s="11"/>
      <c r="O179" s="11"/>
      <c r="P179" s="11"/>
    </row>
    <row r="180" spans="7:16" x14ac:dyDescent="0.3">
      <c r="G180" t="s">
        <v>235</v>
      </c>
      <c r="I180" s="12" t="s">
        <v>1383</v>
      </c>
      <c r="J180" s="15" t="s">
        <v>1384</v>
      </c>
      <c r="K180" s="11"/>
      <c r="L180" s="11"/>
      <c r="M180" s="11"/>
      <c r="N180" s="11"/>
      <c r="O180" s="11"/>
      <c r="P180" s="11"/>
    </row>
    <row r="181" spans="7:16" x14ac:dyDescent="0.3">
      <c r="G181" t="s">
        <v>236</v>
      </c>
      <c r="I181" s="12" t="s">
        <v>1385</v>
      </c>
      <c r="J181" s="15" t="s">
        <v>1386</v>
      </c>
      <c r="K181" s="11"/>
      <c r="L181" s="11"/>
      <c r="M181" s="11"/>
      <c r="N181" s="11"/>
      <c r="O181" s="11"/>
      <c r="P181" s="11"/>
    </row>
    <row r="182" spans="7:16" x14ac:dyDescent="0.3">
      <c r="G182" t="s">
        <v>237</v>
      </c>
      <c r="I182" s="12" t="s">
        <v>1387</v>
      </c>
      <c r="J182" s="15" t="s">
        <v>1388</v>
      </c>
      <c r="K182" s="11"/>
      <c r="L182" s="11"/>
      <c r="M182" s="11"/>
      <c r="N182" s="11"/>
      <c r="O182" s="11"/>
      <c r="P182" s="11"/>
    </row>
    <row r="183" spans="7:16" x14ac:dyDescent="0.3">
      <c r="G183" t="s">
        <v>238</v>
      </c>
      <c r="I183" s="12" t="s">
        <v>1389</v>
      </c>
      <c r="J183" s="15" t="s">
        <v>1390</v>
      </c>
      <c r="K183" s="11"/>
      <c r="L183" s="11"/>
      <c r="M183" s="11"/>
      <c r="N183" s="11"/>
      <c r="O183" s="11"/>
      <c r="P183" s="11"/>
    </row>
    <row r="184" spans="7:16" x14ac:dyDescent="0.3">
      <c r="G184" t="s">
        <v>239</v>
      </c>
      <c r="I184" s="12" t="s">
        <v>1391</v>
      </c>
      <c r="J184" s="15" t="s">
        <v>1392</v>
      </c>
      <c r="K184" s="11"/>
      <c r="L184" s="11"/>
      <c r="M184" s="11"/>
      <c r="N184" s="11"/>
      <c r="O184" s="11"/>
      <c r="P184" s="11"/>
    </row>
    <row r="185" spans="7:16" x14ac:dyDescent="0.3">
      <c r="G185" t="s">
        <v>240</v>
      </c>
      <c r="I185" s="12" t="s">
        <v>1393</v>
      </c>
      <c r="J185" s="15" t="s">
        <v>1394</v>
      </c>
      <c r="K185" s="11"/>
      <c r="L185" s="11"/>
      <c r="M185" s="11"/>
      <c r="N185" s="11"/>
      <c r="O185" s="11"/>
      <c r="P185" s="11"/>
    </row>
    <row r="186" spans="7:16" x14ac:dyDescent="0.3">
      <c r="G186" t="s">
        <v>241</v>
      </c>
      <c r="I186" s="12" t="s">
        <v>1395</v>
      </c>
      <c r="J186" s="15" t="s">
        <v>1396</v>
      </c>
      <c r="K186" s="11"/>
      <c r="L186" s="11"/>
      <c r="M186" s="11"/>
      <c r="N186" s="11"/>
      <c r="O186" s="11"/>
      <c r="P186" s="11"/>
    </row>
    <row r="187" spans="7:16" x14ac:dyDescent="0.3">
      <c r="G187" t="s">
        <v>242</v>
      </c>
      <c r="I187" s="12" t="s">
        <v>1397</v>
      </c>
      <c r="J187" s="15" t="s">
        <v>1398</v>
      </c>
      <c r="K187" s="11"/>
      <c r="L187" s="11"/>
      <c r="M187" s="11"/>
      <c r="N187" s="11"/>
      <c r="O187" s="11"/>
      <c r="P187" s="11"/>
    </row>
    <row r="188" spans="7:16" x14ac:dyDescent="0.3">
      <c r="G188" t="s">
        <v>243</v>
      </c>
      <c r="I188" s="12" t="s">
        <v>1399</v>
      </c>
      <c r="J188" s="15" t="s">
        <v>1400</v>
      </c>
      <c r="K188" s="11"/>
      <c r="L188" s="11"/>
      <c r="M188" s="11"/>
      <c r="N188" s="11"/>
      <c r="O188" s="11"/>
      <c r="P188" s="11"/>
    </row>
    <row r="189" spans="7:16" x14ac:dyDescent="0.3">
      <c r="G189" t="s">
        <v>244</v>
      </c>
      <c r="I189" s="12" t="s">
        <v>1401</v>
      </c>
      <c r="J189" s="15" t="s">
        <v>1402</v>
      </c>
      <c r="K189" s="11"/>
      <c r="L189" s="11"/>
      <c r="M189" s="11"/>
      <c r="N189" s="11"/>
      <c r="O189" s="11"/>
      <c r="P189" s="11"/>
    </row>
    <row r="190" spans="7:16" x14ac:dyDescent="0.3">
      <c r="G190" t="s">
        <v>245</v>
      </c>
      <c r="I190" s="12" t="s">
        <v>1403</v>
      </c>
      <c r="J190" s="15" t="s">
        <v>1404</v>
      </c>
      <c r="K190" s="11"/>
      <c r="L190" s="11"/>
      <c r="M190" s="11"/>
      <c r="N190" s="11"/>
      <c r="O190" s="11"/>
      <c r="P190" s="11"/>
    </row>
    <row r="191" spans="7:16" x14ac:dyDescent="0.3">
      <c r="G191" t="s">
        <v>246</v>
      </c>
      <c r="I191" s="12" t="s">
        <v>1405</v>
      </c>
      <c r="J191" s="15" t="s">
        <v>1406</v>
      </c>
      <c r="K191" s="11"/>
      <c r="L191" s="11"/>
      <c r="M191" s="11"/>
      <c r="N191" s="11"/>
      <c r="O191" s="11"/>
      <c r="P191" s="11"/>
    </row>
    <row r="192" spans="7:16" x14ac:dyDescent="0.3">
      <c r="G192" t="s">
        <v>247</v>
      </c>
      <c r="I192" s="12" t="s">
        <v>1407</v>
      </c>
      <c r="J192" s="15" t="s">
        <v>1408</v>
      </c>
      <c r="K192" s="11"/>
      <c r="L192" s="11"/>
      <c r="M192" s="11"/>
      <c r="N192" s="11"/>
      <c r="O192" s="11"/>
      <c r="P192" s="11"/>
    </row>
    <row r="193" spans="7:16" x14ac:dyDescent="0.3">
      <c r="G193" t="s">
        <v>248</v>
      </c>
      <c r="I193" s="12" t="s">
        <v>1409</v>
      </c>
      <c r="J193" s="15" t="s">
        <v>1408</v>
      </c>
      <c r="K193" s="11"/>
      <c r="L193" s="11"/>
      <c r="M193" s="11"/>
      <c r="N193" s="11"/>
      <c r="O193" s="11"/>
      <c r="P193" s="11"/>
    </row>
    <row r="194" spans="7:16" x14ac:dyDescent="0.3">
      <c r="G194" t="s">
        <v>249</v>
      </c>
      <c r="I194" s="12" t="s">
        <v>1410</v>
      </c>
      <c r="J194" s="15" t="s">
        <v>1411</v>
      </c>
      <c r="K194" s="11"/>
      <c r="L194" s="11"/>
      <c r="M194" s="11"/>
      <c r="N194" s="11"/>
      <c r="O194" s="11"/>
      <c r="P194" s="11"/>
    </row>
    <row r="195" spans="7:16" x14ac:dyDescent="0.3">
      <c r="G195" t="s">
        <v>250</v>
      </c>
      <c r="I195" s="12" t="s">
        <v>1412</v>
      </c>
      <c r="J195" s="15" t="s">
        <v>1413</v>
      </c>
      <c r="K195" s="11"/>
      <c r="L195" s="11"/>
      <c r="M195" s="11"/>
      <c r="N195" s="11"/>
      <c r="O195" s="11"/>
      <c r="P195" s="11"/>
    </row>
    <row r="196" spans="7:16" x14ac:dyDescent="0.3">
      <c r="G196" t="s">
        <v>251</v>
      </c>
      <c r="I196" s="12" t="s">
        <v>1414</v>
      </c>
      <c r="J196" s="15" t="s">
        <v>1415</v>
      </c>
      <c r="K196" s="11"/>
      <c r="L196" s="11"/>
      <c r="M196" s="11"/>
      <c r="N196" s="11"/>
      <c r="O196" s="11"/>
      <c r="P196" s="11"/>
    </row>
    <row r="197" spans="7:16" x14ac:dyDescent="0.3">
      <c r="G197" t="s">
        <v>252</v>
      </c>
      <c r="I197" s="12" t="s">
        <v>1416</v>
      </c>
      <c r="J197" s="15" t="s">
        <v>1417</v>
      </c>
      <c r="K197" s="11"/>
      <c r="L197" s="11"/>
      <c r="M197" s="11"/>
      <c r="N197" s="11"/>
      <c r="O197" s="11"/>
      <c r="P197" s="11"/>
    </row>
    <row r="198" spans="7:16" x14ac:dyDescent="0.3">
      <c r="G198" t="s">
        <v>253</v>
      </c>
      <c r="I198" s="12" t="s">
        <v>1418</v>
      </c>
      <c r="J198" s="15" t="s">
        <v>1419</v>
      </c>
      <c r="K198" s="11"/>
      <c r="L198" s="11"/>
      <c r="M198" s="11"/>
      <c r="N198" s="11"/>
      <c r="O198" s="11"/>
      <c r="P198" s="11"/>
    </row>
    <row r="199" spans="7:16" x14ac:dyDescent="0.3">
      <c r="G199" t="s">
        <v>254</v>
      </c>
      <c r="I199" s="12" t="s">
        <v>1420</v>
      </c>
      <c r="J199" s="15" t="s">
        <v>1421</v>
      </c>
      <c r="K199" s="11"/>
      <c r="L199" s="11"/>
      <c r="M199" s="11"/>
      <c r="N199" s="11"/>
      <c r="O199" s="11"/>
      <c r="P199" s="11"/>
    </row>
    <row r="200" spans="7:16" x14ac:dyDescent="0.3">
      <c r="G200" t="s">
        <v>255</v>
      </c>
      <c r="I200" s="12" t="s">
        <v>1422</v>
      </c>
      <c r="J200" s="15" t="s">
        <v>1423</v>
      </c>
      <c r="K200" s="11"/>
      <c r="L200" s="11"/>
      <c r="M200" s="11"/>
      <c r="N200" s="11"/>
      <c r="O200" s="11"/>
      <c r="P200" s="11"/>
    </row>
    <row r="201" spans="7:16" x14ac:dyDescent="0.3">
      <c r="G201" t="s">
        <v>256</v>
      </c>
      <c r="I201" s="12" t="s">
        <v>1424</v>
      </c>
      <c r="J201" s="15" t="s">
        <v>1425</v>
      </c>
      <c r="K201" s="11"/>
      <c r="L201" s="11"/>
      <c r="M201" s="11"/>
      <c r="N201" s="11"/>
      <c r="O201" s="11"/>
      <c r="P201" s="11"/>
    </row>
    <row r="202" spans="7:16" x14ac:dyDescent="0.3">
      <c r="G202" t="s">
        <v>257</v>
      </c>
      <c r="I202" s="12" t="s">
        <v>1426</v>
      </c>
      <c r="J202" s="15" t="s">
        <v>1427</v>
      </c>
      <c r="K202" s="11"/>
      <c r="L202" s="11"/>
      <c r="M202" s="11"/>
      <c r="N202" s="11"/>
      <c r="O202" s="11"/>
      <c r="P202" s="11"/>
    </row>
    <row r="203" spans="7:16" x14ac:dyDescent="0.3">
      <c r="G203" t="s">
        <v>258</v>
      </c>
      <c r="I203" s="12" t="s">
        <v>1428</v>
      </c>
      <c r="J203" s="15" t="s">
        <v>1429</v>
      </c>
      <c r="K203" s="11"/>
      <c r="L203" s="11"/>
      <c r="M203" s="11"/>
      <c r="N203" s="11"/>
      <c r="O203" s="11"/>
      <c r="P203" s="11"/>
    </row>
    <row r="204" spans="7:16" x14ac:dyDescent="0.3">
      <c r="G204" t="s">
        <v>259</v>
      </c>
      <c r="I204" s="12" t="s">
        <v>1430</v>
      </c>
      <c r="J204" s="15" t="s">
        <v>1431</v>
      </c>
      <c r="K204" s="11"/>
      <c r="L204" s="11"/>
      <c r="M204" s="11"/>
      <c r="N204" s="11"/>
      <c r="O204" s="11"/>
      <c r="P204" s="11"/>
    </row>
    <row r="205" spans="7:16" x14ac:dyDescent="0.3">
      <c r="G205" t="s">
        <v>260</v>
      </c>
      <c r="I205" s="12" t="s">
        <v>1432</v>
      </c>
      <c r="J205" s="15" t="s">
        <v>1433</v>
      </c>
      <c r="K205" s="11"/>
      <c r="L205" s="11"/>
      <c r="M205" s="11"/>
      <c r="N205" s="11"/>
      <c r="O205" s="11"/>
      <c r="P205" s="11"/>
    </row>
    <row r="206" spans="7:16" x14ac:dyDescent="0.3">
      <c r="G206" t="s">
        <v>261</v>
      </c>
      <c r="I206" s="12" t="s">
        <v>1434</v>
      </c>
      <c r="J206" s="15" t="s">
        <v>1435</v>
      </c>
      <c r="K206" s="11"/>
      <c r="L206" s="11"/>
      <c r="M206" s="11"/>
      <c r="N206" s="11"/>
      <c r="O206" s="11"/>
      <c r="P206" s="11"/>
    </row>
    <row r="207" spans="7:16" x14ac:dyDescent="0.3">
      <c r="G207" t="s">
        <v>262</v>
      </c>
      <c r="I207" s="12" t="s">
        <v>1436</v>
      </c>
      <c r="J207" s="15" t="s">
        <v>1437</v>
      </c>
      <c r="K207" s="11"/>
      <c r="L207" s="11"/>
      <c r="M207" s="11"/>
      <c r="N207" s="11"/>
      <c r="O207" s="11"/>
      <c r="P207" s="11"/>
    </row>
    <row r="208" spans="7:16" x14ac:dyDescent="0.3">
      <c r="G208" t="s">
        <v>263</v>
      </c>
      <c r="I208" s="12" t="s">
        <v>1438</v>
      </c>
      <c r="J208" s="15" t="s">
        <v>1439</v>
      </c>
      <c r="K208" s="11"/>
      <c r="L208" s="11"/>
      <c r="M208" s="11"/>
      <c r="N208" s="11"/>
      <c r="O208" s="11"/>
      <c r="P208" s="11"/>
    </row>
    <row r="209" spans="7:16" x14ac:dyDescent="0.3">
      <c r="G209" t="s">
        <v>264</v>
      </c>
      <c r="I209" s="12" t="s">
        <v>1440</v>
      </c>
      <c r="J209" s="15" t="s">
        <v>1441</v>
      </c>
      <c r="K209" s="11"/>
      <c r="L209" s="11"/>
      <c r="M209" s="11"/>
      <c r="N209" s="11"/>
      <c r="O209" s="11"/>
      <c r="P209" s="11"/>
    </row>
    <row r="210" spans="7:16" x14ac:dyDescent="0.3">
      <c r="G210" t="s">
        <v>265</v>
      </c>
      <c r="I210" s="12" t="s">
        <v>1442</v>
      </c>
      <c r="J210" s="15" t="s">
        <v>1443</v>
      </c>
      <c r="K210" s="11"/>
      <c r="L210" s="11"/>
      <c r="M210" s="11"/>
      <c r="N210" s="11"/>
      <c r="O210" s="11"/>
      <c r="P210" s="11"/>
    </row>
    <row r="211" spans="7:16" x14ac:dyDescent="0.3">
      <c r="G211" t="s">
        <v>266</v>
      </c>
      <c r="I211" s="12" t="s">
        <v>1444</v>
      </c>
      <c r="J211" s="15" t="s">
        <v>1445</v>
      </c>
      <c r="K211" s="11"/>
      <c r="L211" s="11"/>
      <c r="M211" s="11"/>
      <c r="N211" s="11"/>
      <c r="O211" s="11"/>
      <c r="P211" s="11"/>
    </row>
    <row r="212" spans="7:16" x14ac:dyDescent="0.3">
      <c r="G212" t="s">
        <v>267</v>
      </c>
      <c r="I212" s="12" t="s">
        <v>1446</v>
      </c>
      <c r="J212" s="15" t="s">
        <v>1447</v>
      </c>
      <c r="K212" s="11"/>
      <c r="L212" s="11"/>
      <c r="M212" s="11"/>
      <c r="N212" s="11"/>
      <c r="O212" s="11"/>
      <c r="P212" s="11"/>
    </row>
    <row r="213" spans="7:16" x14ac:dyDescent="0.3">
      <c r="G213" t="s">
        <v>268</v>
      </c>
      <c r="I213" s="12" t="s">
        <v>1448</v>
      </c>
      <c r="J213" s="15" t="s">
        <v>1449</v>
      </c>
      <c r="K213" s="11"/>
      <c r="L213" s="11"/>
      <c r="M213" s="11"/>
      <c r="N213" s="11"/>
      <c r="O213" s="11"/>
      <c r="P213" s="11"/>
    </row>
    <row r="214" spans="7:16" x14ac:dyDescent="0.3">
      <c r="G214" t="s">
        <v>269</v>
      </c>
      <c r="I214" s="12" t="s">
        <v>1450</v>
      </c>
      <c r="J214" s="15" t="s">
        <v>1451</v>
      </c>
      <c r="K214" s="11"/>
      <c r="L214" s="11"/>
      <c r="M214" s="11"/>
      <c r="N214" s="11"/>
      <c r="O214" s="11"/>
      <c r="P214" s="11"/>
    </row>
    <row r="215" spans="7:16" x14ac:dyDescent="0.3">
      <c r="G215" t="s">
        <v>270</v>
      </c>
      <c r="I215" s="12" t="s">
        <v>1452</v>
      </c>
      <c r="J215" s="15" t="s">
        <v>1453</v>
      </c>
      <c r="K215" s="11"/>
      <c r="L215" s="11"/>
      <c r="M215" s="11"/>
      <c r="N215" s="11"/>
      <c r="O215" s="11"/>
      <c r="P215" s="11"/>
    </row>
    <row r="216" spans="7:16" x14ac:dyDescent="0.3">
      <c r="G216" t="s">
        <v>271</v>
      </c>
      <c r="I216" s="12" t="s">
        <v>1454</v>
      </c>
      <c r="J216" s="15" t="s">
        <v>1455</v>
      </c>
      <c r="K216" s="11"/>
      <c r="L216" s="11"/>
      <c r="M216" s="11"/>
      <c r="N216" s="11"/>
      <c r="O216" s="11"/>
      <c r="P216" s="11"/>
    </row>
    <row r="217" spans="7:16" x14ac:dyDescent="0.3">
      <c r="G217" t="s">
        <v>272</v>
      </c>
      <c r="I217" s="12" t="s">
        <v>1456</v>
      </c>
      <c r="J217" s="15" t="s">
        <v>1457</v>
      </c>
      <c r="K217" s="11"/>
      <c r="L217" s="11"/>
      <c r="M217" s="11"/>
      <c r="N217" s="11"/>
      <c r="O217" s="11"/>
      <c r="P217" s="11"/>
    </row>
    <row r="218" spans="7:16" x14ac:dyDescent="0.3">
      <c r="G218" t="s">
        <v>273</v>
      </c>
      <c r="I218" s="12" t="s">
        <v>1458</v>
      </c>
      <c r="J218" s="15" t="s">
        <v>1459</v>
      </c>
      <c r="K218" s="11"/>
      <c r="L218" s="11"/>
      <c r="M218" s="11"/>
      <c r="N218" s="11"/>
      <c r="O218" s="11"/>
      <c r="P218" s="11"/>
    </row>
    <row r="219" spans="7:16" x14ac:dyDescent="0.3">
      <c r="G219" t="s">
        <v>274</v>
      </c>
      <c r="I219" s="12" t="s">
        <v>1460</v>
      </c>
      <c r="J219" s="15" t="s">
        <v>1461</v>
      </c>
      <c r="K219" s="11"/>
      <c r="L219" s="11"/>
      <c r="M219" s="11"/>
      <c r="N219" s="11"/>
      <c r="O219" s="11"/>
      <c r="P219" s="11"/>
    </row>
    <row r="220" spans="7:16" x14ac:dyDescent="0.3">
      <c r="G220" t="s">
        <v>275</v>
      </c>
      <c r="I220" s="12" t="s">
        <v>1462</v>
      </c>
      <c r="J220" s="15" t="s">
        <v>1463</v>
      </c>
      <c r="K220" s="11"/>
      <c r="L220" s="11"/>
      <c r="M220" s="11"/>
      <c r="N220" s="11"/>
      <c r="O220" s="11"/>
      <c r="P220" s="11"/>
    </row>
    <row r="221" spans="7:16" x14ac:dyDescent="0.3">
      <c r="G221" t="s">
        <v>276</v>
      </c>
      <c r="I221" s="12" t="s">
        <v>1464</v>
      </c>
      <c r="J221" s="15" t="s">
        <v>1465</v>
      </c>
      <c r="K221" s="11"/>
      <c r="L221" s="11"/>
      <c r="M221" s="11"/>
      <c r="N221" s="11"/>
      <c r="O221" s="11"/>
      <c r="P221" s="11"/>
    </row>
    <row r="222" spans="7:16" x14ac:dyDescent="0.3">
      <c r="G222" t="s">
        <v>277</v>
      </c>
      <c r="I222" s="12" t="s">
        <v>1466</v>
      </c>
      <c r="J222" s="15" t="s">
        <v>1467</v>
      </c>
      <c r="K222" s="11"/>
      <c r="L222" s="11"/>
      <c r="M222" s="11"/>
      <c r="N222" s="11"/>
      <c r="O222" s="11"/>
      <c r="P222" s="11"/>
    </row>
    <row r="223" spans="7:16" x14ac:dyDescent="0.3">
      <c r="G223" t="s">
        <v>278</v>
      </c>
      <c r="I223" s="12" t="s">
        <v>1468</v>
      </c>
      <c r="J223" s="15" t="s">
        <v>1469</v>
      </c>
      <c r="K223" s="11"/>
      <c r="L223" s="11"/>
      <c r="M223" s="11"/>
      <c r="N223" s="11"/>
      <c r="O223" s="11"/>
      <c r="P223" s="11"/>
    </row>
    <row r="224" spans="7:16" x14ac:dyDescent="0.3">
      <c r="G224" t="s">
        <v>279</v>
      </c>
      <c r="I224" s="12" t="s">
        <v>1470</v>
      </c>
      <c r="J224" s="15" t="s">
        <v>1471</v>
      </c>
      <c r="K224" s="11"/>
      <c r="L224" s="11"/>
      <c r="M224" s="11"/>
      <c r="N224" s="11"/>
      <c r="O224" s="11"/>
      <c r="P224" s="11"/>
    </row>
    <row r="225" spans="7:16" x14ac:dyDescent="0.3">
      <c r="G225" t="s">
        <v>280</v>
      </c>
      <c r="I225" s="12" t="s">
        <v>1472</v>
      </c>
      <c r="J225" s="15" t="s">
        <v>1473</v>
      </c>
      <c r="K225" s="11"/>
      <c r="L225" s="11"/>
      <c r="M225" s="11"/>
      <c r="N225" s="11"/>
      <c r="O225" s="11"/>
      <c r="P225" s="11"/>
    </row>
    <row r="226" spans="7:16" x14ac:dyDescent="0.3">
      <c r="G226" t="s">
        <v>281</v>
      </c>
      <c r="I226" s="12" t="s">
        <v>1474</v>
      </c>
      <c r="J226" s="15" t="s">
        <v>1475</v>
      </c>
      <c r="K226" s="11"/>
      <c r="L226" s="11"/>
      <c r="M226" s="11"/>
      <c r="N226" s="11"/>
      <c r="O226" s="11"/>
      <c r="P226" s="11"/>
    </row>
    <row r="227" spans="7:16" x14ac:dyDescent="0.3">
      <c r="G227" t="s">
        <v>282</v>
      </c>
      <c r="I227" s="12" t="s">
        <v>1476</v>
      </c>
      <c r="J227" s="15" t="s">
        <v>1477</v>
      </c>
      <c r="K227" s="11"/>
      <c r="L227" s="11"/>
      <c r="M227" s="11"/>
      <c r="N227" s="11"/>
      <c r="O227" s="11"/>
      <c r="P227" s="11"/>
    </row>
    <row r="228" spans="7:16" x14ac:dyDescent="0.3">
      <c r="G228" t="s">
        <v>283</v>
      </c>
      <c r="I228" s="12" t="s">
        <v>1478</v>
      </c>
      <c r="J228" s="15" t="s">
        <v>1479</v>
      </c>
      <c r="K228" s="11"/>
      <c r="L228" s="11"/>
      <c r="M228" s="11"/>
      <c r="N228" s="11"/>
      <c r="O228" s="11"/>
      <c r="P228" s="11"/>
    </row>
    <row r="229" spans="7:16" x14ac:dyDescent="0.3">
      <c r="G229" t="s">
        <v>284</v>
      </c>
      <c r="I229" s="12" t="s">
        <v>1480</v>
      </c>
      <c r="J229" s="15" t="s">
        <v>1481</v>
      </c>
      <c r="K229" s="11"/>
      <c r="L229" s="11"/>
      <c r="M229" s="11"/>
      <c r="N229" s="11"/>
      <c r="O229" s="11"/>
      <c r="P229" s="11"/>
    </row>
    <row r="230" spans="7:16" x14ac:dyDescent="0.3">
      <c r="G230" t="s">
        <v>285</v>
      </c>
      <c r="I230" s="12" t="s">
        <v>1482</v>
      </c>
      <c r="J230" s="15" t="s">
        <v>1483</v>
      </c>
      <c r="K230" s="11"/>
      <c r="L230" s="11"/>
      <c r="M230" s="11"/>
      <c r="N230" s="11"/>
      <c r="O230" s="11"/>
      <c r="P230" s="11"/>
    </row>
    <row r="231" spans="7:16" x14ac:dyDescent="0.3">
      <c r="G231" t="s">
        <v>286</v>
      </c>
      <c r="I231" s="12" t="s">
        <v>1484</v>
      </c>
      <c r="J231" s="15" t="s">
        <v>1485</v>
      </c>
      <c r="K231" s="11"/>
      <c r="L231" s="11"/>
      <c r="M231" s="11"/>
      <c r="N231" s="11"/>
      <c r="O231" s="11"/>
      <c r="P231" s="11"/>
    </row>
    <row r="232" spans="7:16" x14ac:dyDescent="0.3">
      <c r="G232" t="s">
        <v>287</v>
      </c>
      <c r="I232" s="12" t="s">
        <v>1486</v>
      </c>
      <c r="J232" s="15" t="s">
        <v>1487</v>
      </c>
      <c r="K232" s="11"/>
      <c r="L232" s="11"/>
      <c r="M232" s="11"/>
      <c r="N232" s="11"/>
      <c r="O232" s="11"/>
      <c r="P232" s="11"/>
    </row>
    <row r="233" spans="7:16" x14ac:dyDescent="0.3">
      <c r="G233" t="s">
        <v>288</v>
      </c>
      <c r="I233" s="12" t="s">
        <v>1488</v>
      </c>
      <c r="J233" s="15" t="s">
        <v>1489</v>
      </c>
      <c r="K233" s="11"/>
      <c r="L233" s="11"/>
      <c r="M233" s="11"/>
      <c r="N233" s="11"/>
      <c r="O233" s="11"/>
      <c r="P233" s="11"/>
    </row>
    <row r="234" spans="7:16" x14ac:dyDescent="0.3">
      <c r="G234" t="s">
        <v>289</v>
      </c>
      <c r="I234" s="12" t="s">
        <v>1490</v>
      </c>
      <c r="J234" s="15" t="s">
        <v>1491</v>
      </c>
      <c r="K234" s="11"/>
      <c r="L234" s="11"/>
      <c r="M234" s="11"/>
      <c r="N234" s="11"/>
      <c r="O234" s="11"/>
      <c r="P234" s="11"/>
    </row>
    <row r="235" spans="7:16" x14ac:dyDescent="0.3">
      <c r="G235" t="s">
        <v>290</v>
      </c>
      <c r="I235" s="12" t="s">
        <v>1492</v>
      </c>
      <c r="J235" s="15" t="s">
        <v>1493</v>
      </c>
      <c r="K235" s="11"/>
      <c r="L235" s="11"/>
      <c r="M235" s="11"/>
      <c r="N235" s="11"/>
      <c r="O235" s="11"/>
      <c r="P235" s="11"/>
    </row>
    <row r="236" spans="7:16" x14ac:dyDescent="0.3">
      <c r="G236" t="s">
        <v>290</v>
      </c>
      <c r="I236" s="12" t="s">
        <v>1494</v>
      </c>
      <c r="J236" s="15" t="s">
        <v>1495</v>
      </c>
      <c r="K236" s="11"/>
      <c r="L236" s="11"/>
      <c r="M236" s="11"/>
      <c r="N236" s="11"/>
      <c r="O236" s="11"/>
      <c r="P236" s="11"/>
    </row>
    <row r="237" spans="7:16" x14ac:dyDescent="0.3">
      <c r="G237" t="s">
        <v>291</v>
      </c>
      <c r="I237" s="12" t="s">
        <v>1496</v>
      </c>
      <c r="J237" s="15" t="s">
        <v>1497</v>
      </c>
      <c r="K237" s="11"/>
      <c r="L237" s="11"/>
      <c r="M237" s="11"/>
      <c r="N237" s="11"/>
      <c r="O237" s="11"/>
      <c r="P237" s="11"/>
    </row>
    <row r="238" spans="7:16" x14ac:dyDescent="0.3">
      <c r="G238" t="s">
        <v>292</v>
      </c>
      <c r="I238" s="12" t="s">
        <v>1498</v>
      </c>
      <c r="J238" s="15" t="s">
        <v>1499</v>
      </c>
      <c r="K238" s="11"/>
      <c r="L238" s="11"/>
      <c r="M238" s="11"/>
      <c r="N238" s="11"/>
      <c r="O238" s="11"/>
      <c r="P238" s="11"/>
    </row>
    <row r="239" spans="7:16" x14ac:dyDescent="0.3">
      <c r="G239" t="s">
        <v>293</v>
      </c>
      <c r="I239" s="12" t="s">
        <v>1500</v>
      </c>
      <c r="J239" s="15" t="s">
        <v>1501</v>
      </c>
      <c r="K239" s="11"/>
      <c r="L239" s="11"/>
      <c r="M239" s="11"/>
      <c r="N239" s="11"/>
      <c r="O239" s="11"/>
      <c r="P239" s="11"/>
    </row>
    <row r="240" spans="7:16" x14ac:dyDescent="0.3">
      <c r="G240" t="s">
        <v>294</v>
      </c>
      <c r="I240" s="12" t="s">
        <v>1502</v>
      </c>
      <c r="J240" s="15" t="s">
        <v>1503</v>
      </c>
      <c r="K240" s="11"/>
      <c r="L240" s="11"/>
      <c r="M240" s="11"/>
      <c r="N240" s="11"/>
      <c r="O240" s="11"/>
      <c r="P240" s="11"/>
    </row>
    <row r="241" spans="7:16" x14ac:dyDescent="0.3">
      <c r="G241" t="s">
        <v>295</v>
      </c>
      <c r="I241" s="12" t="s">
        <v>1504</v>
      </c>
      <c r="J241" s="15" t="s">
        <v>1505</v>
      </c>
      <c r="K241" s="11"/>
      <c r="L241" s="11"/>
      <c r="M241" s="11"/>
      <c r="N241" s="11"/>
      <c r="O241" s="11"/>
      <c r="P241" s="11"/>
    </row>
    <row r="242" spans="7:16" x14ac:dyDescent="0.3">
      <c r="G242" t="s">
        <v>296</v>
      </c>
      <c r="I242" s="12" t="s">
        <v>1506</v>
      </c>
      <c r="J242" s="15" t="s">
        <v>1507</v>
      </c>
      <c r="K242" s="11"/>
      <c r="L242" s="11"/>
      <c r="M242" s="11"/>
      <c r="N242" s="11"/>
      <c r="O242" s="11"/>
      <c r="P242" s="11"/>
    </row>
    <row r="243" spans="7:16" x14ac:dyDescent="0.3">
      <c r="G243" t="s">
        <v>297</v>
      </c>
      <c r="I243" s="12" t="s">
        <v>1508</v>
      </c>
      <c r="J243" s="15" t="s">
        <v>1509</v>
      </c>
      <c r="K243" s="11"/>
      <c r="L243" s="11"/>
      <c r="M243" s="11"/>
      <c r="N243" s="11"/>
      <c r="O243" s="11"/>
      <c r="P243" s="11"/>
    </row>
    <row r="244" spans="7:16" x14ac:dyDescent="0.3">
      <c r="G244" t="s">
        <v>298</v>
      </c>
      <c r="I244" s="12" t="s">
        <v>1510</v>
      </c>
      <c r="J244" s="15" t="s">
        <v>1511</v>
      </c>
      <c r="K244" s="11"/>
      <c r="L244" s="11"/>
      <c r="M244" s="11"/>
      <c r="N244" s="11"/>
      <c r="O244" s="11"/>
      <c r="P244" s="11"/>
    </row>
    <row r="245" spans="7:16" x14ac:dyDescent="0.3">
      <c r="G245" t="s">
        <v>299</v>
      </c>
      <c r="I245" s="12" t="s">
        <v>1512</v>
      </c>
      <c r="J245" s="15" t="s">
        <v>1513</v>
      </c>
      <c r="K245" s="11"/>
      <c r="L245" s="11"/>
      <c r="M245" s="11"/>
      <c r="N245" s="11"/>
      <c r="O245" s="11"/>
      <c r="P245" s="11"/>
    </row>
    <row r="246" spans="7:16" x14ac:dyDescent="0.3">
      <c r="G246" t="s">
        <v>300</v>
      </c>
      <c r="I246" s="12" t="s">
        <v>1514</v>
      </c>
      <c r="J246" s="15" t="s">
        <v>1515</v>
      </c>
      <c r="K246" s="11"/>
      <c r="L246" s="11"/>
      <c r="M246" s="11"/>
      <c r="N246" s="11"/>
      <c r="O246" s="11"/>
      <c r="P246" s="11"/>
    </row>
    <row r="247" spans="7:16" x14ac:dyDescent="0.3">
      <c r="G247" t="s">
        <v>301</v>
      </c>
      <c r="I247" s="12" t="s">
        <v>1516</v>
      </c>
      <c r="J247" s="15" t="s">
        <v>1517</v>
      </c>
      <c r="K247" s="11"/>
      <c r="L247" s="11"/>
      <c r="M247" s="11"/>
      <c r="N247" s="11"/>
      <c r="O247" s="11"/>
      <c r="P247" s="11"/>
    </row>
    <row r="248" spans="7:16" x14ac:dyDescent="0.3">
      <c r="G248" t="s">
        <v>302</v>
      </c>
      <c r="I248" s="12" t="s">
        <v>1518</v>
      </c>
      <c r="J248" s="15" t="s">
        <v>1519</v>
      </c>
      <c r="K248" s="11"/>
      <c r="L248" s="11"/>
      <c r="M248" s="11"/>
      <c r="N248" s="11"/>
      <c r="O248" s="11"/>
      <c r="P248" s="11"/>
    </row>
    <row r="249" spans="7:16" x14ac:dyDescent="0.3">
      <c r="G249" t="s">
        <v>303</v>
      </c>
      <c r="I249" s="12" t="s">
        <v>1520</v>
      </c>
      <c r="J249" s="15" t="s">
        <v>1521</v>
      </c>
      <c r="K249" s="11"/>
      <c r="L249" s="11"/>
      <c r="M249" s="11"/>
      <c r="N249" s="11"/>
      <c r="O249" s="11"/>
      <c r="P249" s="11"/>
    </row>
    <row r="250" spans="7:16" x14ac:dyDescent="0.3">
      <c r="G250" t="s">
        <v>304</v>
      </c>
      <c r="I250" s="12" t="s">
        <v>1522</v>
      </c>
      <c r="J250" s="15" t="s">
        <v>1523</v>
      </c>
      <c r="K250" s="11"/>
      <c r="L250" s="11"/>
      <c r="M250" s="11"/>
      <c r="N250" s="11"/>
      <c r="O250" s="11"/>
      <c r="P250" s="11"/>
    </row>
    <row r="251" spans="7:16" x14ac:dyDescent="0.3">
      <c r="G251" t="s">
        <v>305</v>
      </c>
      <c r="I251" s="12" t="s">
        <v>1524</v>
      </c>
      <c r="J251" s="15" t="s">
        <v>1525</v>
      </c>
      <c r="K251" s="11"/>
      <c r="L251" s="11"/>
      <c r="M251" s="11"/>
      <c r="N251" s="11"/>
      <c r="O251" s="11"/>
      <c r="P251" s="11"/>
    </row>
    <row r="252" spans="7:16" x14ac:dyDescent="0.3">
      <c r="G252" t="s">
        <v>306</v>
      </c>
      <c r="I252" s="12" t="s">
        <v>1526</v>
      </c>
      <c r="J252" s="15" t="s">
        <v>1527</v>
      </c>
      <c r="K252" s="11"/>
      <c r="L252" s="11"/>
      <c r="M252" s="11"/>
      <c r="N252" s="11"/>
      <c r="O252" s="11"/>
      <c r="P252" s="11"/>
    </row>
    <row r="253" spans="7:16" x14ac:dyDescent="0.3">
      <c r="G253" t="s">
        <v>307</v>
      </c>
      <c r="I253" s="12" t="s">
        <v>1528</v>
      </c>
      <c r="J253" s="15" t="s">
        <v>1529</v>
      </c>
      <c r="K253" s="11"/>
      <c r="L253" s="11"/>
      <c r="M253" s="11"/>
      <c r="N253" s="11"/>
      <c r="O253" s="11"/>
      <c r="P253" s="11"/>
    </row>
    <row r="254" spans="7:16" x14ac:dyDescent="0.3">
      <c r="G254" t="s">
        <v>308</v>
      </c>
      <c r="I254" s="12" t="s">
        <v>1530</v>
      </c>
      <c r="J254" s="15" t="s">
        <v>1531</v>
      </c>
      <c r="K254" s="11"/>
      <c r="L254" s="11"/>
      <c r="M254" s="11"/>
      <c r="N254" s="11"/>
      <c r="O254" s="11"/>
      <c r="P254" s="11"/>
    </row>
    <row r="255" spans="7:16" x14ac:dyDescent="0.3">
      <c r="G255" t="s">
        <v>309</v>
      </c>
      <c r="I255" s="12" t="s">
        <v>1532</v>
      </c>
      <c r="J255" s="15" t="s">
        <v>1533</v>
      </c>
      <c r="K255" s="11"/>
      <c r="L255" s="11"/>
      <c r="M255" s="11"/>
      <c r="N255" s="11"/>
      <c r="O255" s="11"/>
      <c r="P255" s="11"/>
    </row>
    <row r="256" spans="7:16" x14ac:dyDescent="0.3">
      <c r="G256" t="s">
        <v>8</v>
      </c>
      <c r="I256" s="12" t="s">
        <v>1534</v>
      </c>
      <c r="J256" s="15" t="s">
        <v>1535</v>
      </c>
      <c r="K256" s="11"/>
      <c r="L256" s="11"/>
      <c r="M256" s="11"/>
      <c r="N256" s="11"/>
      <c r="O256" s="11"/>
      <c r="P256" s="11"/>
    </row>
    <row r="257" spans="7:16" x14ac:dyDescent="0.3">
      <c r="G257" t="s">
        <v>310</v>
      </c>
      <c r="I257" s="12" t="s">
        <v>1536</v>
      </c>
      <c r="J257" s="15" t="s">
        <v>1537</v>
      </c>
      <c r="K257" s="11"/>
      <c r="L257" s="11"/>
      <c r="M257" s="11"/>
      <c r="N257" s="11"/>
      <c r="O257" s="11"/>
      <c r="P257" s="11"/>
    </row>
    <row r="258" spans="7:16" x14ac:dyDescent="0.3">
      <c r="G258" t="s">
        <v>311</v>
      </c>
      <c r="I258" s="12" t="s">
        <v>1538</v>
      </c>
      <c r="J258" s="15" t="s">
        <v>1539</v>
      </c>
      <c r="K258" s="11"/>
      <c r="L258" s="11"/>
      <c r="M258" s="11"/>
      <c r="N258" s="11"/>
      <c r="O258" s="11"/>
      <c r="P258" s="11"/>
    </row>
    <row r="259" spans="7:16" x14ac:dyDescent="0.3">
      <c r="G259" t="s">
        <v>312</v>
      </c>
      <c r="I259" s="12" t="s">
        <v>1540</v>
      </c>
      <c r="J259" s="15" t="s">
        <v>1541</v>
      </c>
      <c r="K259" s="11"/>
      <c r="L259" s="11"/>
      <c r="M259" s="11"/>
      <c r="N259" s="11"/>
      <c r="O259" s="11"/>
      <c r="P259" s="11"/>
    </row>
    <row r="260" spans="7:16" x14ac:dyDescent="0.3">
      <c r="G260" t="s">
        <v>313</v>
      </c>
      <c r="I260" s="12" t="s">
        <v>1542</v>
      </c>
      <c r="J260" s="15" t="s">
        <v>1543</v>
      </c>
      <c r="K260" s="11"/>
      <c r="L260" s="11"/>
      <c r="M260" s="11"/>
      <c r="N260" s="11"/>
      <c r="O260" s="11"/>
      <c r="P260" s="11"/>
    </row>
    <row r="261" spans="7:16" x14ac:dyDescent="0.3">
      <c r="G261" t="s">
        <v>314</v>
      </c>
      <c r="I261" s="12" t="s">
        <v>1544</v>
      </c>
      <c r="J261" s="15" t="s">
        <v>1545</v>
      </c>
      <c r="K261" s="11"/>
      <c r="L261" s="11"/>
      <c r="M261" s="11"/>
      <c r="N261" s="11"/>
      <c r="O261" s="11"/>
      <c r="P261" s="11"/>
    </row>
    <row r="262" spans="7:16" x14ac:dyDescent="0.3">
      <c r="G262" t="s">
        <v>315</v>
      </c>
      <c r="I262" s="12" t="s">
        <v>1546</v>
      </c>
      <c r="J262" s="15" t="s">
        <v>1547</v>
      </c>
      <c r="K262" s="11"/>
      <c r="L262" s="11"/>
      <c r="M262" s="11"/>
      <c r="N262" s="11"/>
      <c r="O262" s="11"/>
      <c r="P262" s="11"/>
    </row>
    <row r="263" spans="7:16" x14ac:dyDescent="0.3">
      <c r="G263" t="s">
        <v>316</v>
      </c>
      <c r="I263" s="12" t="s">
        <v>1548</v>
      </c>
      <c r="J263" s="15" t="s">
        <v>1549</v>
      </c>
      <c r="K263" s="11"/>
      <c r="L263" s="11"/>
      <c r="M263" s="11"/>
      <c r="N263" s="11"/>
      <c r="O263" s="11"/>
      <c r="P263" s="11"/>
    </row>
    <row r="264" spans="7:16" x14ac:dyDescent="0.3">
      <c r="G264" t="s">
        <v>317</v>
      </c>
      <c r="I264" s="12" t="s">
        <v>1550</v>
      </c>
      <c r="J264" s="15" t="s">
        <v>1551</v>
      </c>
      <c r="K264" s="11"/>
      <c r="L264" s="11"/>
      <c r="M264" s="11"/>
      <c r="N264" s="11"/>
      <c r="O264" s="11"/>
      <c r="P264" s="11"/>
    </row>
    <row r="265" spans="7:16" x14ac:dyDescent="0.3">
      <c r="G265" t="s">
        <v>318</v>
      </c>
      <c r="I265" s="12" t="s">
        <v>1552</v>
      </c>
      <c r="J265" s="15" t="s">
        <v>1553</v>
      </c>
      <c r="K265" s="11"/>
      <c r="L265" s="11"/>
      <c r="M265" s="11"/>
      <c r="N265" s="11"/>
      <c r="O265" s="11"/>
      <c r="P265" s="11"/>
    </row>
    <row r="266" spans="7:16" x14ac:dyDescent="0.3">
      <c r="G266" t="s">
        <v>319</v>
      </c>
      <c r="I266" s="12" t="s">
        <v>1554</v>
      </c>
      <c r="J266" s="15" t="s">
        <v>1555</v>
      </c>
      <c r="K266" s="11"/>
      <c r="L266" s="11"/>
      <c r="M266" s="11"/>
      <c r="N266" s="11"/>
      <c r="O266" s="11"/>
      <c r="P266" s="11"/>
    </row>
    <row r="267" spans="7:16" x14ac:dyDescent="0.3">
      <c r="G267" t="s">
        <v>320</v>
      </c>
      <c r="I267" s="12" t="s">
        <v>1556</v>
      </c>
      <c r="J267" s="15" t="s">
        <v>1557</v>
      </c>
      <c r="K267" s="11"/>
      <c r="L267" s="11"/>
      <c r="M267" s="11"/>
      <c r="N267" s="11"/>
      <c r="O267" s="11"/>
      <c r="P267" s="11"/>
    </row>
    <row r="268" spans="7:16" x14ac:dyDescent="0.3">
      <c r="G268" t="s">
        <v>321</v>
      </c>
      <c r="I268" s="12" t="s">
        <v>1558</v>
      </c>
      <c r="J268" s="15" t="s">
        <v>1559</v>
      </c>
      <c r="K268" s="11"/>
      <c r="L268" s="11"/>
      <c r="M268" s="11"/>
      <c r="N268" s="11"/>
      <c r="O268" s="11"/>
      <c r="P268" s="11"/>
    </row>
    <row r="269" spans="7:16" x14ac:dyDescent="0.3">
      <c r="G269" t="s">
        <v>322</v>
      </c>
      <c r="I269" s="12" t="s">
        <v>1560</v>
      </c>
      <c r="J269" s="15" t="s">
        <v>1561</v>
      </c>
      <c r="K269" s="11"/>
      <c r="L269" s="11"/>
      <c r="M269" s="11"/>
      <c r="N269" s="11"/>
      <c r="O269" s="11"/>
      <c r="P269" s="11"/>
    </row>
    <row r="270" spans="7:16" x14ac:dyDescent="0.3">
      <c r="G270" t="s">
        <v>323</v>
      </c>
      <c r="I270" s="12" t="s">
        <v>1562</v>
      </c>
      <c r="J270" s="15" t="s">
        <v>1563</v>
      </c>
      <c r="K270" s="11"/>
      <c r="L270" s="11"/>
      <c r="M270" s="11"/>
      <c r="N270" s="11"/>
      <c r="O270" s="11"/>
      <c r="P270" s="11"/>
    </row>
    <row r="271" spans="7:16" x14ac:dyDescent="0.3">
      <c r="G271" t="s">
        <v>324</v>
      </c>
      <c r="I271" s="12" t="s">
        <v>1564</v>
      </c>
      <c r="J271" s="15" t="s">
        <v>1565</v>
      </c>
      <c r="K271" s="11"/>
      <c r="L271" s="11"/>
      <c r="M271" s="11"/>
      <c r="N271" s="11"/>
      <c r="O271" s="11"/>
      <c r="P271" s="11"/>
    </row>
    <row r="272" spans="7:16" x14ac:dyDescent="0.3">
      <c r="G272" t="s">
        <v>325</v>
      </c>
      <c r="I272" s="12" t="s">
        <v>1566</v>
      </c>
      <c r="J272" s="15" t="s">
        <v>1567</v>
      </c>
      <c r="K272" s="11"/>
      <c r="L272" s="11"/>
      <c r="M272" s="11"/>
      <c r="N272" s="11"/>
      <c r="O272" s="11"/>
      <c r="P272" s="11"/>
    </row>
    <row r="273" spans="7:16" x14ac:dyDescent="0.3">
      <c r="G273" t="s">
        <v>326</v>
      </c>
      <c r="I273" s="12" t="s">
        <v>1568</v>
      </c>
      <c r="J273" s="15" t="s">
        <v>1569</v>
      </c>
      <c r="K273" s="11"/>
      <c r="L273" s="11"/>
      <c r="M273" s="11"/>
      <c r="N273" s="11"/>
      <c r="O273" s="11"/>
      <c r="P273" s="11"/>
    </row>
    <row r="274" spans="7:16" x14ac:dyDescent="0.3">
      <c r="G274" t="s">
        <v>327</v>
      </c>
      <c r="I274" s="12" t="s">
        <v>1570</v>
      </c>
      <c r="J274" s="15" t="s">
        <v>1571</v>
      </c>
      <c r="K274" s="11"/>
      <c r="L274" s="11"/>
      <c r="M274" s="11"/>
      <c r="N274" s="11"/>
      <c r="O274" s="11"/>
      <c r="P274" s="11"/>
    </row>
    <row r="275" spans="7:16" x14ac:dyDescent="0.3">
      <c r="G275" t="s">
        <v>328</v>
      </c>
      <c r="I275" s="12" t="s">
        <v>1572</v>
      </c>
      <c r="J275" s="15" t="s">
        <v>1573</v>
      </c>
      <c r="K275" s="11"/>
      <c r="L275" s="11"/>
      <c r="M275" s="11"/>
      <c r="N275" s="11"/>
      <c r="O275" s="11"/>
      <c r="P275" s="11"/>
    </row>
    <row r="276" spans="7:16" x14ac:dyDescent="0.3">
      <c r="G276" t="s">
        <v>329</v>
      </c>
      <c r="I276" s="12" t="s">
        <v>1574</v>
      </c>
      <c r="J276" s="15" t="s">
        <v>1575</v>
      </c>
      <c r="K276" s="11"/>
      <c r="L276" s="11"/>
      <c r="M276" s="11"/>
      <c r="N276" s="11"/>
      <c r="O276" s="11"/>
      <c r="P276" s="11"/>
    </row>
    <row r="277" spans="7:16" x14ac:dyDescent="0.3">
      <c r="G277" t="s">
        <v>330</v>
      </c>
      <c r="I277" s="12" t="s">
        <v>1576</v>
      </c>
      <c r="J277" s="15" t="s">
        <v>1577</v>
      </c>
      <c r="K277" s="11"/>
      <c r="L277" s="11"/>
      <c r="M277" s="11"/>
      <c r="N277" s="11"/>
      <c r="O277" s="11"/>
      <c r="P277" s="11"/>
    </row>
    <row r="278" spans="7:16" x14ac:dyDescent="0.3">
      <c r="G278" t="s">
        <v>331</v>
      </c>
      <c r="I278" s="12" t="s">
        <v>1578</v>
      </c>
      <c r="J278" s="15" t="s">
        <v>1579</v>
      </c>
      <c r="K278" s="11"/>
      <c r="L278" s="11"/>
      <c r="M278" s="11"/>
      <c r="N278" s="11"/>
      <c r="O278" s="11"/>
      <c r="P278" s="11"/>
    </row>
    <row r="279" spans="7:16" x14ac:dyDescent="0.3">
      <c r="G279" t="s">
        <v>332</v>
      </c>
      <c r="I279" s="12" t="s">
        <v>1580</v>
      </c>
      <c r="J279" s="15" t="s">
        <v>1581</v>
      </c>
      <c r="K279" s="11"/>
      <c r="L279" s="11"/>
      <c r="M279" s="11"/>
      <c r="N279" s="11"/>
      <c r="O279" s="11"/>
      <c r="P279" s="11"/>
    </row>
    <row r="280" spans="7:16" x14ac:dyDescent="0.3">
      <c r="G280" t="s">
        <v>333</v>
      </c>
      <c r="I280" s="12" t="s">
        <v>1582</v>
      </c>
      <c r="J280" s="15" t="s">
        <v>1583</v>
      </c>
      <c r="K280" s="11"/>
      <c r="L280" s="11"/>
      <c r="M280" s="11"/>
      <c r="N280" s="11"/>
      <c r="O280" s="11"/>
      <c r="P280" s="11"/>
    </row>
    <row r="281" spans="7:16" x14ac:dyDescent="0.3">
      <c r="G281" t="s">
        <v>334</v>
      </c>
      <c r="I281" s="12" t="s">
        <v>1584</v>
      </c>
      <c r="J281" s="15" t="s">
        <v>1585</v>
      </c>
      <c r="K281" s="11"/>
      <c r="L281" s="11"/>
      <c r="M281" s="11"/>
      <c r="N281" s="11"/>
      <c r="O281" s="11"/>
      <c r="P281" s="11"/>
    </row>
    <row r="282" spans="7:16" x14ac:dyDescent="0.3">
      <c r="G282" t="s">
        <v>335</v>
      </c>
      <c r="I282" s="12" t="s">
        <v>1586</v>
      </c>
      <c r="J282" s="15" t="s">
        <v>1587</v>
      </c>
      <c r="K282" s="11"/>
      <c r="L282" s="11"/>
      <c r="M282" s="11"/>
      <c r="N282" s="11"/>
      <c r="O282" s="11"/>
      <c r="P282" s="11"/>
    </row>
    <row r="283" spans="7:16" x14ac:dyDescent="0.3">
      <c r="G283" t="s">
        <v>336</v>
      </c>
      <c r="I283" s="12" t="s">
        <v>1588</v>
      </c>
      <c r="J283" s="15" t="s">
        <v>1589</v>
      </c>
      <c r="K283" s="11"/>
      <c r="L283" s="11"/>
      <c r="M283" s="11"/>
      <c r="N283" s="11"/>
      <c r="O283" s="11"/>
      <c r="P283" s="11"/>
    </row>
    <row r="284" spans="7:16" x14ac:dyDescent="0.3">
      <c r="G284" t="s">
        <v>337</v>
      </c>
      <c r="I284" s="12" t="s">
        <v>1590</v>
      </c>
      <c r="J284" s="15" t="s">
        <v>1591</v>
      </c>
      <c r="K284" s="11"/>
      <c r="L284" s="11"/>
      <c r="M284" s="11"/>
      <c r="N284" s="11"/>
      <c r="O284" s="11"/>
      <c r="P284" s="11"/>
    </row>
    <row r="285" spans="7:16" x14ac:dyDescent="0.3">
      <c r="G285" t="s">
        <v>338</v>
      </c>
      <c r="I285" s="12" t="s">
        <v>1592</v>
      </c>
      <c r="J285" s="15" t="s">
        <v>1593</v>
      </c>
      <c r="K285" s="11"/>
      <c r="L285" s="11"/>
      <c r="M285" s="11"/>
      <c r="N285" s="11"/>
      <c r="O285" s="11"/>
      <c r="P285" s="11"/>
    </row>
    <row r="286" spans="7:16" x14ac:dyDescent="0.3">
      <c r="G286" t="s">
        <v>339</v>
      </c>
      <c r="I286" s="12" t="s">
        <v>1594</v>
      </c>
      <c r="J286" s="15" t="s">
        <v>1595</v>
      </c>
      <c r="K286" s="11"/>
      <c r="L286" s="11"/>
      <c r="M286" s="11"/>
      <c r="N286" s="11"/>
      <c r="O286" s="11"/>
      <c r="P286" s="11"/>
    </row>
    <row r="287" spans="7:16" x14ac:dyDescent="0.3">
      <c r="G287" t="s">
        <v>340</v>
      </c>
      <c r="I287" s="12" t="s">
        <v>1596</v>
      </c>
      <c r="J287" s="15" t="s">
        <v>1597</v>
      </c>
      <c r="K287" s="11"/>
      <c r="L287" s="11"/>
      <c r="M287" s="11"/>
      <c r="N287" s="11"/>
      <c r="O287" s="11"/>
      <c r="P287" s="11"/>
    </row>
    <row r="288" spans="7:16" x14ac:dyDescent="0.3">
      <c r="G288" t="s">
        <v>341</v>
      </c>
      <c r="I288" s="12" t="s">
        <v>1598</v>
      </c>
      <c r="J288" s="15" t="s">
        <v>1599</v>
      </c>
      <c r="K288" s="11"/>
      <c r="L288" s="11"/>
      <c r="M288" s="11"/>
      <c r="N288" s="11"/>
      <c r="O288" s="11"/>
      <c r="P288" s="11"/>
    </row>
    <row r="289" spans="7:16" x14ac:dyDescent="0.3">
      <c r="G289" t="s">
        <v>342</v>
      </c>
      <c r="I289" s="12" t="s">
        <v>1600</v>
      </c>
      <c r="J289" s="15" t="s">
        <v>1601</v>
      </c>
      <c r="K289" s="11"/>
      <c r="L289" s="11"/>
      <c r="M289" s="11"/>
      <c r="N289" s="11"/>
      <c r="O289" s="11"/>
      <c r="P289" s="11"/>
    </row>
    <row r="290" spans="7:16" x14ac:dyDescent="0.3">
      <c r="G290" t="s">
        <v>343</v>
      </c>
      <c r="I290" s="12" t="s">
        <v>1602</v>
      </c>
      <c r="J290" s="15" t="s">
        <v>1603</v>
      </c>
      <c r="K290" s="11"/>
      <c r="L290" s="11"/>
      <c r="M290" s="11"/>
      <c r="N290" s="11"/>
      <c r="O290" s="11"/>
      <c r="P290" s="11"/>
    </row>
    <row r="291" spans="7:16" x14ac:dyDescent="0.3">
      <c r="G291" t="s">
        <v>344</v>
      </c>
      <c r="I291" s="12" t="s">
        <v>1604</v>
      </c>
      <c r="J291" s="15" t="s">
        <v>1605</v>
      </c>
      <c r="K291" s="11"/>
      <c r="L291" s="11"/>
      <c r="M291" s="11"/>
      <c r="N291" s="11"/>
      <c r="O291" s="11"/>
      <c r="P291" s="11"/>
    </row>
    <row r="292" spans="7:16" x14ac:dyDescent="0.3">
      <c r="G292" t="s">
        <v>345</v>
      </c>
      <c r="I292" s="12" t="s">
        <v>1606</v>
      </c>
      <c r="J292" s="15" t="s">
        <v>1607</v>
      </c>
      <c r="K292" s="11"/>
      <c r="L292" s="11"/>
      <c r="M292" s="11"/>
      <c r="N292" s="11"/>
      <c r="O292" s="11"/>
      <c r="P292" s="11"/>
    </row>
    <row r="293" spans="7:16" x14ac:dyDescent="0.3">
      <c r="G293" t="s">
        <v>346</v>
      </c>
      <c r="I293" s="12" t="s">
        <v>1608</v>
      </c>
      <c r="J293" s="15" t="s">
        <v>1609</v>
      </c>
      <c r="K293" s="11"/>
      <c r="L293" s="11"/>
      <c r="M293" s="11"/>
      <c r="N293" s="11"/>
      <c r="O293" s="11"/>
      <c r="P293" s="11"/>
    </row>
    <row r="294" spans="7:16" x14ac:dyDescent="0.3">
      <c r="G294" t="s">
        <v>347</v>
      </c>
      <c r="I294" s="12" t="s">
        <v>1610</v>
      </c>
      <c r="J294" s="15" t="s">
        <v>1611</v>
      </c>
      <c r="K294" s="11"/>
      <c r="L294" s="11"/>
      <c r="M294" s="11"/>
      <c r="N294" s="11"/>
      <c r="O294" s="11"/>
      <c r="P294" s="11"/>
    </row>
    <row r="295" spans="7:16" x14ac:dyDescent="0.3">
      <c r="G295" t="s">
        <v>348</v>
      </c>
      <c r="I295" s="12" t="s">
        <v>1612</v>
      </c>
      <c r="J295" s="15" t="s">
        <v>1613</v>
      </c>
      <c r="K295" s="11"/>
      <c r="L295" s="11"/>
      <c r="M295" s="11"/>
      <c r="N295" s="11"/>
      <c r="O295" s="11"/>
      <c r="P295" s="11"/>
    </row>
    <row r="296" spans="7:16" x14ac:dyDescent="0.3">
      <c r="G296" t="s">
        <v>349</v>
      </c>
      <c r="I296" s="12" t="s">
        <v>1614</v>
      </c>
      <c r="J296" s="15" t="s">
        <v>1615</v>
      </c>
      <c r="K296" s="11"/>
      <c r="L296" s="11"/>
      <c r="M296" s="11"/>
      <c r="N296" s="11"/>
      <c r="O296" s="11"/>
      <c r="P296" s="11"/>
    </row>
    <row r="297" spans="7:16" x14ac:dyDescent="0.3">
      <c r="G297" t="s">
        <v>350</v>
      </c>
      <c r="I297" s="12" t="s">
        <v>1616</v>
      </c>
      <c r="J297" s="15" t="s">
        <v>1617</v>
      </c>
      <c r="K297" s="11"/>
      <c r="L297" s="11"/>
      <c r="M297" s="11"/>
      <c r="N297" s="11"/>
      <c r="O297" s="11"/>
      <c r="P297" s="11"/>
    </row>
    <row r="298" spans="7:16" x14ac:dyDescent="0.3">
      <c r="G298" t="s">
        <v>351</v>
      </c>
      <c r="I298" s="12" t="s">
        <v>1618</v>
      </c>
      <c r="J298" s="15" t="s">
        <v>1619</v>
      </c>
      <c r="K298" s="11"/>
      <c r="L298" s="11"/>
      <c r="M298" s="11"/>
      <c r="N298" s="11"/>
      <c r="O298" s="11"/>
      <c r="P298" s="11"/>
    </row>
    <row r="299" spans="7:16" x14ac:dyDescent="0.3">
      <c r="G299" t="s">
        <v>352</v>
      </c>
      <c r="I299" s="12" t="s">
        <v>1620</v>
      </c>
      <c r="J299" s="15" t="s">
        <v>1621</v>
      </c>
      <c r="K299" s="11"/>
      <c r="L299" s="11"/>
      <c r="M299" s="11"/>
      <c r="N299" s="11"/>
      <c r="O299" s="11"/>
      <c r="P299" s="11"/>
    </row>
    <row r="300" spans="7:16" x14ac:dyDescent="0.3">
      <c r="G300" t="s">
        <v>353</v>
      </c>
      <c r="I300" s="12" t="s">
        <v>1622</v>
      </c>
      <c r="J300" s="15" t="s">
        <v>1623</v>
      </c>
      <c r="K300" s="11"/>
      <c r="L300" s="11"/>
      <c r="M300" s="11"/>
      <c r="N300" s="11"/>
      <c r="O300" s="11"/>
      <c r="P300" s="11"/>
    </row>
    <row r="301" spans="7:16" x14ac:dyDescent="0.3">
      <c r="G301" t="s">
        <v>354</v>
      </c>
      <c r="I301" s="12" t="s">
        <v>1624</v>
      </c>
      <c r="J301" s="15" t="s">
        <v>1625</v>
      </c>
      <c r="K301" s="11"/>
      <c r="L301" s="11"/>
      <c r="M301" s="11"/>
      <c r="N301" s="11"/>
      <c r="O301" s="11"/>
      <c r="P301" s="11"/>
    </row>
    <row r="302" spans="7:16" x14ac:dyDescent="0.3">
      <c r="G302" t="s">
        <v>355</v>
      </c>
      <c r="I302" s="12" t="s">
        <v>1626</v>
      </c>
      <c r="J302" s="15" t="s">
        <v>1627</v>
      </c>
      <c r="K302" s="11"/>
      <c r="L302" s="11"/>
      <c r="M302" s="11"/>
      <c r="N302" s="11"/>
      <c r="O302" s="11"/>
      <c r="P302" s="11"/>
    </row>
    <row r="303" spans="7:16" x14ac:dyDescent="0.3">
      <c r="G303" t="s">
        <v>356</v>
      </c>
      <c r="I303" s="12" t="s">
        <v>1628</v>
      </c>
      <c r="J303" s="15" t="s">
        <v>1629</v>
      </c>
      <c r="K303" s="11"/>
      <c r="L303" s="11"/>
      <c r="M303" s="11"/>
      <c r="N303" s="11"/>
      <c r="O303" s="11"/>
      <c r="P303" s="11"/>
    </row>
    <row r="304" spans="7:16" x14ac:dyDescent="0.3">
      <c r="G304" t="s">
        <v>357</v>
      </c>
      <c r="I304" s="12" t="s">
        <v>1630</v>
      </c>
      <c r="J304" s="15" t="s">
        <v>1631</v>
      </c>
      <c r="K304" s="11"/>
      <c r="L304" s="11"/>
      <c r="M304" s="11"/>
      <c r="N304" s="11"/>
      <c r="O304" s="11"/>
      <c r="P304" s="11"/>
    </row>
    <row r="305" spans="7:16" x14ac:dyDescent="0.3">
      <c r="G305" t="s">
        <v>358</v>
      </c>
      <c r="I305" s="12" t="s">
        <v>1632</v>
      </c>
      <c r="J305" s="15" t="s">
        <v>1633</v>
      </c>
      <c r="K305" s="11"/>
      <c r="L305" s="11"/>
      <c r="M305" s="11"/>
      <c r="N305" s="11"/>
      <c r="O305" s="11"/>
      <c r="P305" s="11"/>
    </row>
    <row r="306" spans="7:16" x14ac:dyDescent="0.3">
      <c r="G306" t="s">
        <v>359</v>
      </c>
      <c r="I306" s="12" t="s">
        <v>1634</v>
      </c>
      <c r="J306" s="15" t="s">
        <v>1635</v>
      </c>
      <c r="K306" s="11"/>
      <c r="L306" s="11"/>
      <c r="M306" s="11"/>
      <c r="N306" s="11"/>
      <c r="O306" s="11"/>
      <c r="P306" s="11"/>
    </row>
    <row r="307" spans="7:16" x14ac:dyDescent="0.3">
      <c r="G307" t="s">
        <v>360</v>
      </c>
      <c r="I307" s="12" t="s">
        <v>1636</v>
      </c>
      <c r="J307" s="15" t="s">
        <v>1637</v>
      </c>
      <c r="K307" s="11"/>
      <c r="L307" s="11"/>
      <c r="M307" s="11"/>
      <c r="N307" s="11"/>
      <c r="O307" s="11"/>
      <c r="P307" s="11"/>
    </row>
    <row r="308" spans="7:16" x14ac:dyDescent="0.3">
      <c r="G308" t="s">
        <v>361</v>
      </c>
      <c r="I308" s="12" t="s">
        <v>1638</v>
      </c>
      <c r="J308" s="15" t="s">
        <v>1639</v>
      </c>
      <c r="K308" s="11"/>
      <c r="L308" s="11"/>
      <c r="M308" s="11"/>
      <c r="N308" s="11"/>
      <c r="O308" s="11"/>
      <c r="P308" s="11"/>
    </row>
    <row r="309" spans="7:16" x14ac:dyDescent="0.3">
      <c r="G309" t="s">
        <v>362</v>
      </c>
      <c r="I309" s="12" t="s">
        <v>1640</v>
      </c>
      <c r="J309" s="15" t="s">
        <v>1641</v>
      </c>
      <c r="K309" s="11"/>
      <c r="L309" s="11"/>
      <c r="M309" s="11"/>
      <c r="N309" s="11"/>
      <c r="O309" s="11"/>
      <c r="P309" s="11"/>
    </row>
    <row r="310" spans="7:16" x14ac:dyDescent="0.3">
      <c r="G310" t="s">
        <v>363</v>
      </c>
      <c r="I310" s="12" t="s">
        <v>1642</v>
      </c>
      <c r="J310" s="15" t="s">
        <v>1643</v>
      </c>
      <c r="K310" s="11"/>
      <c r="L310" s="11"/>
      <c r="M310" s="11"/>
      <c r="N310" s="11"/>
      <c r="O310" s="11"/>
      <c r="P310" s="11"/>
    </row>
    <row r="311" spans="7:16" x14ac:dyDescent="0.3">
      <c r="G311" t="s">
        <v>364</v>
      </c>
      <c r="I311" s="12" t="s">
        <v>1644</v>
      </c>
      <c r="J311" s="15" t="s">
        <v>1645</v>
      </c>
      <c r="K311" s="11"/>
      <c r="L311" s="11"/>
      <c r="M311" s="11"/>
      <c r="N311" s="11"/>
      <c r="O311" s="11"/>
      <c r="P311" s="11"/>
    </row>
    <row r="312" spans="7:16" x14ac:dyDescent="0.3">
      <c r="G312" t="s">
        <v>365</v>
      </c>
      <c r="I312" s="12" t="s">
        <v>1646</v>
      </c>
      <c r="J312" s="15" t="s">
        <v>1647</v>
      </c>
      <c r="K312" s="11"/>
      <c r="L312" s="11"/>
      <c r="M312" s="11"/>
      <c r="N312" s="11"/>
      <c r="O312" s="11"/>
      <c r="P312" s="11"/>
    </row>
    <row r="313" spans="7:16" x14ac:dyDescent="0.3">
      <c r="G313" t="s">
        <v>366</v>
      </c>
      <c r="I313" s="12" t="s">
        <v>1648</v>
      </c>
      <c r="J313" s="15" t="s">
        <v>1649</v>
      </c>
      <c r="K313" s="11"/>
      <c r="L313" s="11"/>
      <c r="M313" s="11"/>
      <c r="N313" s="11"/>
      <c r="O313" s="11"/>
      <c r="P313" s="11"/>
    </row>
    <row r="314" spans="7:16" x14ac:dyDescent="0.3">
      <c r="G314" t="s">
        <v>367</v>
      </c>
      <c r="I314" s="12" t="s">
        <v>1650</v>
      </c>
      <c r="J314" s="15" t="s">
        <v>1651</v>
      </c>
      <c r="K314" s="11"/>
      <c r="L314" s="11"/>
      <c r="M314" s="11"/>
      <c r="N314" s="11"/>
      <c r="O314" s="11"/>
      <c r="P314" s="11"/>
    </row>
    <row r="315" spans="7:16" x14ac:dyDescent="0.3">
      <c r="G315" t="s">
        <v>368</v>
      </c>
      <c r="I315" s="12" t="s">
        <v>1652</v>
      </c>
      <c r="J315" s="15" t="s">
        <v>1653</v>
      </c>
      <c r="K315" s="11"/>
      <c r="L315" s="11"/>
      <c r="M315" s="11"/>
      <c r="N315" s="11"/>
      <c r="O315" s="11"/>
      <c r="P315" s="11"/>
    </row>
    <row r="316" spans="7:16" x14ac:dyDescent="0.3">
      <c r="G316" t="s">
        <v>369</v>
      </c>
      <c r="I316" s="12" t="s">
        <v>1654</v>
      </c>
      <c r="J316" s="15" t="s">
        <v>1655</v>
      </c>
      <c r="K316" s="11"/>
      <c r="L316" s="11"/>
      <c r="M316" s="11"/>
      <c r="N316" s="11"/>
      <c r="O316" s="11"/>
      <c r="P316" s="11"/>
    </row>
    <row r="317" spans="7:16" x14ac:dyDescent="0.3">
      <c r="G317" t="s">
        <v>370</v>
      </c>
      <c r="I317" s="12" t="s">
        <v>1656</v>
      </c>
      <c r="J317" s="15" t="s">
        <v>1657</v>
      </c>
      <c r="K317" s="11"/>
      <c r="L317" s="11"/>
      <c r="M317" s="11"/>
      <c r="N317" s="11"/>
      <c r="O317" s="11"/>
      <c r="P317" s="11"/>
    </row>
    <row r="318" spans="7:16" x14ac:dyDescent="0.3">
      <c r="G318" t="s">
        <v>371</v>
      </c>
      <c r="I318" s="12" t="s">
        <v>1658</v>
      </c>
      <c r="J318" s="15" t="s">
        <v>1659</v>
      </c>
      <c r="K318" s="11"/>
      <c r="L318" s="11"/>
      <c r="M318" s="11"/>
      <c r="N318" s="11"/>
      <c r="O318" s="11"/>
      <c r="P318" s="11"/>
    </row>
    <row r="319" spans="7:16" x14ac:dyDescent="0.3">
      <c r="G319" t="s">
        <v>372</v>
      </c>
      <c r="I319" s="12" t="s">
        <v>1660</v>
      </c>
      <c r="J319" s="15" t="s">
        <v>1661</v>
      </c>
      <c r="K319" s="11"/>
      <c r="L319" s="11"/>
      <c r="M319" s="11"/>
      <c r="N319" s="11"/>
      <c r="O319" s="11"/>
      <c r="P319" s="11"/>
    </row>
    <row r="320" spans="7:16" x14ac:dyDescent="0.3">
      <c r="G320" t="s">
        <v>373</v>
      </c>
      <c r="I320" s="12" t="s">
        <v>1662</v>
      </c>
      <c r="J320" s="15" t="s">
        <v>1663</v>
      </c>
      <c r="K320" s="11"/>
      <c r="L320" s="11"/>
      <c r="M320" s="11"/>
      <c r="N320" s="11"/>
      <c r="O320" s="11"/>
      <c r="P320" s="11"/>
    </row>
    <row r="321" spans="7:16" x14ac:dyDescent="0.3">
      <c r="G321" t="s">
        <v>374</v>
      </c>
      <c r="I321" s="12" t="s">
        <v>1664</v>
      </c>
      <c r="J321" s="15" t="s">
        <v>1665</v>
      </c>
      <c r="K321" s="11"/>
      <c r="L321" s="11"/>
      <c r="M321" s="11"/>
      <c r="N321" s="11"/>
      <c r="O321" s="11"/>
      <c r="P321" s="11"/>
    </row>
    <row r="322" spans="7:16" x14ac:dyDescent="0.3">
      <c r="G322" t="s">
        <v>375</v>
      </c>
      <c r="I322" s="12" t="s">
        <v>1666</v>
      </c>
      <c r="J322" s="15" t="s">
        <v>1667</v>
      </c>
      <c r="K322" s="11"/>
      <c r="L322" s="11"/>
      <c r="M322" s="11"/>
      <c r="N322" s="11"/>
      <c r="O322" s="11"/>
      <c r="P322" s="11"/>
    </row>
    <row r="323" spans="7:16" x14ac:dyDescent="0.3">
      <c r="G323" t="s">
        <v>376</v>
      </c>
      <c r="I323" s="12" t="s">
        <v>1668</v>
      </c>
      <c r="J323" s="15" t="s">
        <v>1669</v>
      </c>
      <c r="K323" s="11"/>
      <c r="L323" s="11"/>
      <c r="M323" s="11"/>
      <c r="N323" s="11"/>
      <c r="O323" s="11"/>
      <c r="P323" s="11"/>
    </row>
    <row r="324" spans="7:16" x14ac:dyDescent="0.3">
      <c r="G324" t="s">
        <v>377</v>
      </c>
      <c r="I324" s="12" t="s">
        <v>1670</v>
      </c>
      <c r="J324" s="15" t="s">
        <v>1671</v>
      </c>
      <c r="K324" s="11"/>
      <c r="L324" s="11"/>
      <c r="M324" s="11"/>
      <c r="N324" s="11"/>
      <c r="O324" s="11"/>
      <c r="P324" s="11"/>
    </row>
    <row r="325" spans="7:16" x14ac:dyDescent="0.3">
      <c r="G325" t="s">
        <v>378</v>
      </c>
      <c r="I325" s="12" t="s">
        <v>335</v>
      </c>
      <c r="J325" s="15" t="s">
        <v>1672</v>
      </c>
      <c r="K325" s="11"/>
      <c r="L325" s="11"/>
      <c r="M325" s="11"/>
      <c r="N325" s="11"/>
      <c r="O325" s="11"/>
      <c r="P325" s="11"/>
    </row>
    <row r="326" spans="7:16" x14ac:dyDescent="0.3">
      <c r="G326" t="s">
        <v>379</v>
      </c>
      <c r="I326" s="12" t="s">
        <v>1673</v>
      </c>
      <c r="J326" s="15" t="s">
        <v>1674</v>
      </c>
      <c r="K326" s="11"/>
      <c r="L326" s="11"/>
      <c r="M326" s="11"/>
      <c r="N326" s="11"/>
      <c r="O326" s="11"/>
      <c r="P326" s="11"/>
    </row>
    <row r="327" spans="7:16" x14ac:dyDescent="0.3">
      <c r="G327" t="s">
        <v>380</v>
      </c>
      <c r="I327" s="12" t="s">
        <v>1675</v>
      </c>
      <c r="J327" s="15" t="s">
        <v>1676</v>
      </c>
      <c r="K327" s="11"/>
      <c r="L327" s="11"/>
      <c r="M327" s="11"/>
      <c r="N327" s="11"/>
      <c r="O327" s="11"/>
      <c r="P327" s="11"/>
    </row>
    <row r="328" spans="7:16" x14ac:dyDescent="0.3">
      <c r="G328" t="s">
        <v>381</v>
      </c>
      <c r="I328" s="12" t="s">
        <v>1677</v>
      </c>
      <c r="J328" s="15" t="s">
        <v>1678</v>
      </c>
      <c r="K328" s="11"/>
      <c r="L328" s="11"/>
      <c r="M328" s="11"/>
      <c r="N328" s="11"/>
      <c r="O328" s="11"/>
      <c r="P328" s="11"/>
    </row>
    <row r="329" spans="7:16" x14ac:dyDescent="0.3">
      <c r="G329" t="s">
        <v>382</v>
      </c>
      <c r="I329" s="12" t="s">
        <v>1679</v>
      </c>
      <c r="J329" s="15" t="s">
        <v>1680</v>
      </c>
      <c r="K329" s="11"/>
      <c r="L329" s="11"/>
      <c r="M329" s="11"/>
      <c r="N329" s="11"/>
      <c r="O329" s="11"/>
      <c r="P329" s="11"/>
    </row>
    <row r="330" spans="7:16" x14ac:dyDescent="0.3">
      <c r="G330" t="s">
        <v>383</v>
      </c>
      <c r="I330" s="12" t="s">
        <v>1681</v>
      </c>
      <c r="J330" s="15" t="s">
        <v>1682</v>
      </c>
      <c r="K330" s="11"/>
      <c r="L330" s="11"/>
      <c r="M330" s="11"/>
      <c r="N330" s="11"/>
      <c r="O330" s="11"/>
      <c r="P330" s="11"/>
    </row>
    <row r="331" spans="7:16" x14ac:dyDescent="0.3">
      <c r="G331" t="s">
        <v>384</v>
      </c>
      <c r="I331" s="12" t="s">
        <v>1683</v>
      </c>
      <c r="J331" s="15" t="s">
        <v>1684</v>
      </c>
      <c r="K331" s="11"/>
      <c r="L331" s="11"/>
      <c r="M331" s="11"/>
      <c r="N331" s="11"/>
      <c r="O331" s="11"/>
      <c r="P331" s="11"/>
    </row>
    <row r="332" spans="7:16" x14ac:dyDescent="0.3">
      <c r="G332" t="s">
        <v>385</v>
      </c>
      <c r="I332" s="12" t="s">
        <v>1685</v>
      </c>
      <c r="J332" s="15" t="s">
        <v>1686</v>
      </c>
      <c r="K332" s="11"/>
      <c r="L332" s="11"/>
      <c r="M332" s="11"/>
      <c r="N332" s="11"/>
      <c r="O332" s="11"/>
      <c r="P332" s="11"/>
    </row>
    <row r="333" spans="7:16" x14ac:dyDescent="0.3">
      <c r="G333" t="s">
        <v>386</v>
      </c>
      <c r="I333" s="12" t="s">
        <v>1687</v>
      </c>
      <c r="J333" s="15" t="s">
        <v>1688</v>
      </c>
      <c r="K333" s="11"/>
      <c r="L333" s="11"/>
      <c r="M333" s="11"/>
      <c r="N333" s="11"/>
      <c r="O333" s="11"/>
      <c r="P333" s="11"/>
    </row>
    <row r="334" spans="7:16" x14ac:dyDescent="0.3">
      <c r="G334" t="s">
        <v>387</v>
      </c>
      <c r="I334" s="12" t="s">
        <v>1689</v>
      </c>
      <c r="J334" s="15" t="s">
        <v>1690</v>
      </c>
      <c r="K334" s="11"/>
      <c r="L334" s="11"/>
      <c r="M334" s="11"/>
      <c r="N334" s="11"/>
      <c r="O334" s="11"/>
      <c r="P334" s="11"/>
    </row>
    <row r="335" spans="7:16" x14ac:dyDescent="0.3">
      <c r="G335" t="s">
        <v>388</v>
      </c>
      <c r="I335" s="12" t="s">
        <v>1691</v>
      </c>
      <c r="J335" s="15" t="s">
        <v>1692</v>
      </c>
      <c r="K335" s="11"/>
      <c r="L335" s="11"/>
      <c r="M335" s="11"/>
      <c r="N335" s="11"/>
      <c r="O335" s="11"/>
      <c r="P335" s="11"/>
    </row>
    <row r="336" spans="7:16" x14ac:dyDescent="0.3">
      <c r="G336" t="s">
        <v>389</v>
      </c>
      <c r="I336" s="12" t="s">
        <v>1693</v>
      </c>
      <c r="J336" s="15" t="s">
        <v>1694</v>
      </c>
      <c r="K336" s="11"/>
      <c r="L336" s="11"/>
      <c r="M336" s="11"/>
      <c r="N336" s="11"/>
      <c r="O336" s="11"/>
      <c r="P336" s="11"/>
    </row>
    <row r="337" spans="7:16" x14ac:dyDescent="0.3">
      <c r="G337" t="s">
        <v>390</v>
      </c>
      <c r="I337" s="12" t="s">
        <v>1695</v>
      </c>
      <c r="J337" s="15" t="s">
        <v>1696</v>
      </c>
      <c r="K337" s="11"/>
      <c r="L337" s="11"/>
      <c r="M337" s="11"/>
      <c r="N337" s="11"/>
      <c r="O337" s="11"/>
      <c r="P337" s="11"/>
    </row>
    <row r="338" spans="7:16" x14ac:dyDescent="0.3">
      <c r="G338" t="s">
        <v>391</v>
      </c>
      <c r="I338" s="12" t="s">
        <v>1697</v>
      </c>
      <c r="J338" s="15" t="s">
        <v>1199</v>
      </c>
      <c r="K338" s="11"/>
      <c r="L338" s="11"/>
      <c r="M338" s="11"/>
      <c r="N338" s="11"/>
      <c r="O338" s="11"/>
      <c r="P338" s="11"/>
    </row>
    <row r="339" spans="7:16" x14ac:dyDescent="0.3">
      <c r="G339" t="s">
        <v>392</v>
      </c>
      <c r="I339" s="12" t="s">
        <v>1698</v>
      </c>
      <c r="J339" s="15" t="s">
        <v>1202</v>
      </c>
      <c r="K339" s="11"/>
      <c r="L339" s="11"/>
      <c r="M339" s="11"/>
      <c r="N339" s="11"/>
      <c r="O339" s="11"/>
      <c r="P339" s="11"/>
    </row>
    <row r="340" spans="7:16" x14ac:dyDescent="0.3">
      <c r="G340" t="s">
        <v>393</v>
      </c>
      <c r="I340" s="12" t="s">
        <v>1699</v>
      </c>
      <c r="J340" s="15" t="s">
        <v>1205</v>
      </c>
      <c r="K340" s="11"/>
      <c r="L340" s="11"/>
      <c r="M340" s="11"/>
      <c r="N340" s="11"/>
      <c r="O340" s="11"/>
      <c r="P340" s="11"/>
    </row>
    <row r="341" spans="7:16" x14ac:dyDescent="0.3">
      <c r="G341" t="s">
        <v>394</v>
      </c>
      <c r="I341" s="12" t="s">
        <v>1700</v>
      </c>
      <c r="J341" s="15" t="s">
        <v>1701</v>
      </c>
      <c r="K341" s="11"/>
      <c r="L341" s="11"/>
      <c r="M341" s="11"/>
      <c r="N341" s="11"/>
      <c r="O341" s="11"/>
      <c r="P341" s="11"/>
    </row>
    <row r="342" spans="7:16" x14ac:dyDescent="0.3">
      <c r="G342" t="s">
        <v>395</v>
      </c>
      <c r="I342" s="12" t="s">
        <v>1702</v>
      </c>
      <c r="J342" s="15" t="s">
        <v>1703</v>
      </c>
      <c r="K342" s="11"/>
      <c r="L342" s="11"/>
      <c r="M342" s="11"/>
      <c r="N342" s="11"/>
      <c r="O342" s="11"/>
      <c r="P342" s="11"/>
    </row>
    <row r="343" spans="7:16" x14ac:dyDescent="0.3">
      <c r="G343" t="s">
        <v>396</v>
      </c>
      <c r="I343" s="12" t="s">
        <v>1704</v>
      </c>
      <c r="J343" s="15" t="s">
        <v>1705</v>
      </c>
      <c r="K343" s="11"/>
      <c r="L343" s="11"/>
      <c r="M343" s="11"/>
      <c r="N343" s="11"/>
      <c r="O343" s="11"/>
      <c r="P343" s="11"/>
    </row>
    <row r="344" spans="7:16" x14ac:dyDescent="0.3">
      <c r="G344" t="s">
        <v>397</v>
      </c>
      <c r="I344" s="12" t="s">
        <v>1706</v>
      </c>
      <c r="J344" s="15" t="s">
        <v>1707</v>
      </c>
      <c r="K344" s="11"/>
      <c r="L344" s="11"/>
      <c r="M344" s="11"/>
      <c r="N344" s="11"/>
      <c r="O344" s="11"/>
      <c r="P344" s="11"/>
    </row>
    <row r="345" spans="7:16" x14ac:dyDescent="0.3">
      <c r="G345" t="s">
        <v>398</v>
      </c>
      <c r="I345" s="12" t="s">
        <v>1708</v>
      </c>
      <c r="J345" s="15" t="s">
        <v>1709</v>
      </c>
      <c r="K345" s="11"/>
      <c r="L345" s="11"/>
      <c r="M345" s="11"/>
      <c r="N345" s="11"/>
      <c r="O345" s="11"/>
      <c r="P345" s="11"/>
    </row>
    <row r="346" spans="7:16" x14ac:dyDescent="0.3">
      <c r="G346" t="s">
        <v>399</v>
      </c>
      <c r="I346" s="12" t="s">
        <v>1710</v>
      </c>
      <c r="J346" s="15" t="s">
        <v>1711</v>
      </c>
      <c r="K346" s="11"/>
      <c r="L346" s="11"/>
      <c r="M346" s="11"/>
      <c r="N346" s="11"/>
      <c r="O346" s="11"/>
      <c r="P346" s="11"/>
    </row>
    <row r="347" spans="7:16" x14ac:dyDescent="0.3">
      <c r="G347" t="s">
        <v>400</v>
      </c>
      <c r="I347" s="12" t="s">
        <v>1712</v>
      </c>
      <c r="J347" s="15" t="s">
        <v>1713</v>
      </c>
      <c r="K347" s="11"/>
      <c r="L347" s="11"/>
      <c r="M347" s="11"/>
      <c r="N347" s="11"/>
      <c r="O347" s="11"/>
      <c r="P347" s="11"/>
    </row>
    <row r="348" spans="7:16" x14ac:dyDescent="0.3">
      <c r="G348" t="s">
        <v>401</v>
      </c>
      <c r="I348" s="12" t="s">
        <v>1714</v>
      </c>
      <c r="J348" s="15" t="s">
        <v>1715</v>
      </c>
      <c r="K348" s="11"/>
      <c r="L348" s="11"/>
      <c r="M348" s="11"/>
      <c r="N348" s="11"/>
      <c r="O348" s="11"/>
      <c r="P348" s="11"/>
    </row>
    <row r="349" spans="7:16" x14ac:dyDescent="0.3">
      <c r="G349" t="s">
        <v>402</v>
      </c>
      <c r="I349" s="12" t="s">
        <v>1716</v>
      </c>
      <c r="J349" s="15" t="s">
        <v>1717</v>
      </c>
      <c r="K349" s="11"/>
      <c r="L349" s="11"/>
      <c r="M349" s="11"/>
      <c r="N349" s="11"/>
      <c r="O349" s="11"/>
      <c r="P349" s="11"/>
    </row>
    <row r="350" spans="7:16" x14ac:dyDescent="0.3">
      <c r="G350" t="s">
        <v>403</v>
      </c>
      <c r="I350" s="12" t="s">
        <v>1718</v>
      </c>
      <c r="J350" s="15" t="s">
        <v>1719</v>
      </c>
      <c r="K350" s="11"/>
      <c r="L350" s="11"/>
      <c r="M350" s="11"/>
      <c r="N350" s="11"/>
      <c r="O350" s="11"/>
      <c r="P350" s="11"/>
    </row>
    <row r="351" spans="7:16" x14ac:dyDescent="0.3">
      <c r="G351" t="s">
        <v>404</v>
      </c>
      <c r="I351" s="12" t="s">
        <v>1720</v>
      </c>
      <c r="J351" s="15" t="s">
        <v>1721</v>
      </c>
      <c r="K351" s="11"/>
      <c r="L351" s="11"/>
      <c r="M351" s="11"/>
      <c r="N351" s="11"/>
      <c r="O351" s="11"/>
      <c r="P351" s="11"/>
    </row>
    <row r="352" spans="7:16" x14ac:dyDescent="0.3">
      <c r="G352" t="s">
        <v>405</v>
      </c>
      <c r="I352" s="12" t="s">
        <v>1722</v>
      </c>
      <c r="J352" s="15" t="s">
        <v>1723</v>
      </c>
      <c r="K352" s="11"/>
      <c r="L352" s="11"/>
      <c r="M352" s="11"/>
      <c r="N352" s="11"/>
      <c r="O352" s="11"/>
      <c r="P352" s="11"/>
    </row>
    <row r="353" spans="7:16" x14ac:dyDescent="0.3">
      <c r="G353" t="s">
        <v>406</v>
      </c>
      <c r="I353" s="12" t="s">
        <v>1724</v>
      </c>
      <c r="J353" s="15" t="s">
        <v>1725</v>
      </c>
      <c r="K353" s="11"/>
      <c r="L353" s="11"/>
      <c r="M353" s="11"/>
      <c r="N353" s="11"/>
      <c r="O353" s="11"/>
      <c r="P353" s="11"/>
    </row>
    <row r="354" spans="7:16" x14ac:dyDescent="0.3">
      <c r="G354" t="s">
        <v>407</v>
      </c>
      <c r="I354" s="12" t="s">
        <v>1726</v>
      </c>
      <c r="J354" s="15" t="s">
        <v>1727</v>
      </c>
      <c r="K354" s="11"/>
      <c r="L354" s="11"/>
      <c r="M354" s="11"/>
      <c r="N354" s="11"/>
      <c r="O354" s="11"/>
      <c r="P354" s="11"/>
    </row>
    <row r="355" spans="7:16" x14ac:dyDescent="0.3">
      <c r="G355" t="s">
        <v>408</v>
      </c>
      <c r="I355" s="12" t="s">
        <v>1728</v>
      </c>
      <c r="J355" s="15" t="s">
        <v>1729</v>
      </c>
      <c r="K355" s="11"/>
      <c r="L355" s="11"/>
      <c r="M355" s="11"/>
      <c r="N355" s="11"/>
      <c r="O355" s="11"/>
      <c r="P355" s="11"/>
    </row>
    <row r="356" spans="7:16" x14ac:dyDescent="0.3">
      <c r="G356" t="s">
        <v>409</v>
      </c>
      <c r="I356" s="12" t="s">
        <v>1730</v>
      </c>
      <c r="J356" s="15" t="s">
        <v>1731</v>
      </c>
      <c r="K356" s="11"/>
      <c r="L356" s="11"/>
      <c r="M356" s="11"/>
      <c r="N356" s="11"/>
      <c r="O356" s="11"/>
      <c r="P356" s="11"/>
    </row>
    <row r="357" spans="7:16" x14ac:dyDescent="0.3">
      <c r="G357" t="s">
        <v>410</v>
      </c>
      <c r="I357" s="12" t="s">
        <v>1732</v>
      </c>
      <c r="J357" s="15" t="s">
        <v>1733</v>
      </c>
      <c r="K357" s="11"/>
      <c r="L357" s="11"/>
      <c r="M357" s="11"/>
      <c r="N357" s="11"/>
      <c r="O357" s="11"/>
      <c r="P357" s="11"/>
    </row>
    <row r="358" spans="7:16" x14ac:dyDescent="0.3">
      <c r="G358" t="s">
        <v>411</v>
      </c>
      <c r="I358" s="12" t="s">
        <v>1734</v>
      </c>
      <c r="J358" s="15" t="s">
        <v>1735</v>
      </c>
      <c r="K358" s="11"/>
      <c r="L358" s="11"/>
      <c r="M358" s="11"/>
      <c r="N358" s="11"/>
      <c r="O358" s="11"/>
      <c r="P358" s="11"/>
    </row>
    <row r="359" spans="7:16" x14ac:dyDescent="0.3">
      <c r="G359" t="s">
        <v>412</v>
      </c>
      <c r="I359" s="12" t="s">
        <v>1736</v>
      </c>
      <c r="J359" s="15" t="s">
        <v>1737</v>
      </c>
      <c r="K359" s="11"/>
      <c r="L359" s="11"/>
      <c r="M359" s="11"/>
      <c r="N359" s="11"/>
      <c r="O359" s="11"/>
      <c r="P359" s="11"/>
    </row>
    <row r="360" spans="7:16" x14ac:dyDescent="0.3">
      <c r="G360" t="s">
        <v>413</v>
      </c>
      <c r="I360" s="12" t="s">
        <v>1738</v>
      </c>
      <c r="J360" s="15" t="s">
        <v>1739</v>
      </c>
      <c r="K360" s="11"/>
      <c r="L360" s="11"/>
      <c r="M360" s="11"/>
      <c r="N360" s="11"/>
      <c r="O360" s="11"/>
      <c r="P360" s="11"/>
    </row>
    <row r="361" spans="7:16" x14ac:dyDescent="0.3">
      <c r="G361" t="s">
        <v>414</v>
      </c>
      <c r="I361" s="12" t="s">
        <v>1740</v>
      </c>
      <c r="J361" s="15" t="s">
        <v>1741</v>
      </c>
      <c r="K361" s="11"/>
      <c r="L361" s="11"/>
      <c r="M361" s="11"/>
      <c r="N361" s="11"/>
      <c r="O361" s="11"/>
      <c r="P361" s="11"/>
    </row>
    <row r="362" spans="7:16" x14ac:dyDescent="0.3">
      <c r="G362" t="s">
        <v>415</v>
      </c>
      <c r="I362" s="12" t="s">
        <v>1742</v>
      </c>
      <c r="J362" s="15" t="s">
        <v>1743</v>
      </c>
      <c r="K362" s="11"/>
      <c r="L362" s="11"/>
      <c r="M362" s="11"/>
      <c r="N362" s="11"/>
      <c r="O362" s="11"/>
      <c r="P362" s="11"/>
    </row>
    <row r="363" spans="7:16" x14ac:dyDescent="0.3">
      <c r="G363" t="s">
        <v>416</v>
      </c>
      <c r="I363" s="12" t="s">
        <v>1744</v>
      </c>
      <c r="J363" s="15" t="s">
        <v>1745</v>
      </c>
      <c r="K363" s="11"/>
      <c r="L363" s="11"/>
      <c r="M363" s="11"/>
      <c r="N363" s="11"/>
      <c r="O363" s="11"/>
      <c r="P363" s="11"/>
    </row>
    <row r="364" spans="7:16" x14ac:dyDescent="0.3">
      <c r="G364" t="s">
        <v>417</v>
      </c>
      <c r="I364" s="12" t="s">
        <v>1746</v>
      </c>
      <c r="J364" s="15" t="s">
        <v>1747</v>
      </c>
      <c r="K364" s="11"/>
      <c r="L364" s="11"/>
      <c r="M364" s="11"/>
      <c r="N364" s="11"/>
      <c r="O364" s="11"/>
      <c r="P364" s="11"/>
    </row>
    <row r="365" spans="7:16" x14ac:dyDescent="0.3">
      <c r="G365" t="s">
        <v>418</v>
      </c>
      <c r="I365" s="12" t="s">
        <v>1748</v>
      </c>
      <c r="J365" s="15" t="s">
        <v>1749</v>
      </c>
      <c r="K365" s="11"/>
      <c r="L365" s="11"/>
      <c r="M365" s="11"/>
      <c r="N365" s="11"/>
      <c r="O365" s="11"/>
      <c r="P365" s="11"/>
    </row>
    <row r="366" spans="7:16" x14ac:dyDescent="0.3">
      <c r="G366" t="s">
        <v>419</v>
      </c>
      <c r="I366" s="12" t="s">
        <v>1750</v>
      </c>
      <c r="J366" s="15" t="s">
        <v>1751</v>
      </c>
      <c r="K366" s="11"/>
      <c r="L366" s="11"/>
      <c r="M366" s="11"/>
      <c r="N366" s="11"/>
      <c r="O366" s="11"/>
      <c r="P366" s="11"/>
    </row>
    <row r="367" spans="7:16" x14ac:dyDescent="0.3">
      <c r="G367" t="s">
        <v>420</v>
      </c>
      <c r="I367" s="12" t="s">
        <v>1752</v>
      </c>
      <c r="J367" s="15" t="s">
        <v>1753</v>
      </c>
      <c r="K367" s="11"/>
      <c r="L367" s="11"/>
      <c r="M367" s="11"/>
      <c r="N367" s="11"/>
      <c r="O367" s="11"/>
      <c r="P367" s="11"/>
    </row>
    <row r="368" spans="7:16" x14ac:dyDescent="0.3">
      <c r="G368" t="s">
        <v>421</v>
      </c>
      <c r="I368" s="12" t="s">
        <v>1754</v>
      </c>
      <c r="J368" s="15" t="s">
        <v>1755</v>
      </c>
      <c r="K368" s="11"/>
      <c r="L368" s="11"/>
      <c r="M368" s="11"/>
      <c r="N368" s="11"/>
      <c r="O368" s="11"/>
      <c r="P368" s="11"/>
    </row>
    <row r="369" spans="7:16" x14ac:dyDescent="0.3">
      <c r="G369" t="s">
        <v>422</v>
      </c>
      <c r="I369" s="12" t="s">
        <v>1756</v>
      </c>
      <c r="J369" s="15" t="s">
        <v>1757</v>
      </c>
      <c r="K369" s="11"/>
      <c r="L369" s="11"/>
      <c r="M369" s="11"/>
      <c r="N369" s="11"/>
      <c r="O369" s="11"/>
      <c r="P369" s="11"/>
    </row>
    <row r="370" spans="7:16" x14ac:dyDescent="0.3">
      <c r="G370" t="s">
        <v>423</v>
      </c>
      <c r="I370" s="12" t="s">
        <v>1758</v>
      </c>
      <c r="J370" s="15" t="s">
        <v>1759</v>
      </c>
      <c r="K370" s="11"/>
      <c r="L370" s="11"/>
      <c r="M370" s="11"/>
      <c r="N370" s="11"/>
      <c r="O370" s="11"/>
      <c r="P370" s="11"/>
    </row>
    <row r="371" spans="7:16" x14ac:dyDescent="0.3">
      <c r="G371" t="s">
        <v>424</v>
      </c>
      <c r="I371" s="12" t="s">
        <v>1760</v>
      </c>
      <c r="J371" s="15" t="s">
        <v>1761</v>
      </c>
      <c r="K371" s="11"/>
      <c r="L371" s="11"/>
      <c r="M371" s="11"/>
      <c r="N371" s="11"/>
      <c r="O371" s="11"/>
      <c r="P371" s="11"/>
    </row>
    <row r="372" spans="7:16" x14ac:dyDescent="0.3">
      <c r="G372" t="s">
        <v>425</v>
      </c>
      <c r="I372" s="12" t="s">
        <v>1762</v>
      </c>
      <c r="J372" s="15" t="s">
        <v>1763</v>
      </c>
      <c r="K372" s="11"/>
      <c r="L372" s="11"/>
      <c r="M372" s="11"/>
      <c r="N372" s="11"/>
      <c r="O372" s="11"/>
      <c r="P372" s="11"/>
    </row>
    <row r="373" spans="7:16" x14ac:dyDescent="0.3">
      <c r="G373" t="s">
        <v>426</v>
      </c>
      <c r="I373" s="12" t="s">
        <v>1764</v>
      </c>
      <c r="J373" s="15" t="s">
        <v>1765</v>
      </c>
      <c r="K373" s="11"/>
      <c r="L373" s="11"/>
      <c r="M373" s="11"/>
      <c r="N373" s="11"/>
      <c r="O373" s="11"/>
      <c r="P373" s="11"/>
    </row>
    <row r="374" spans="7:16" x14ac:dyDescent="0.3">
      <c r="G374" t="s">
        <v>427</v>
      </c>
      <c r="I374" s="12" t="s">
        <v>1766</v>
      </c>
      <c r="J374" s="15" t="s">
        <v>1767</v>
      </c>
      <c r="K374" s="11"/>
      <c r="L374" s="11"/>
      <c r="M374" s="11"/>
      <c r="N374" s="11"/>
      <c r="O374" s="11"/>
      <c r="P374" s="11"/>
    </row>
    <row r="375" spans="7:16" x14ac:dyDescent="0.3">
      <c r="G375" t="s">
        <v>428</v>
      </c>
      <c r="I375" s="12" t="s">
        <v>1768</v>
      </c>
      <c r="J375" s="15" t="s">
        <v>1769</v>
      </c>
      <c r="K375" s="11"/>
      <c r="L375" s="11"/>
      <c r="M375" s="11"/>
      <c r="N375" s="11"/>
      <c r="O375" s="11"/>
      <c r="P375" s="11"/>
    </row>
    <row r="376" spans="7:16" x14ac:dyDescent="0.3">
      <c r="G376" t="s">
        <v>429</v>
      </c>
      <c r="I376" s="12" t="s">
        <v>1770</v>
      </c>
      <c r="J376" s="15" t="s">
        <v>1771</v>
      </c>
      <c r="K376" s="11"/>
      <c r="L376" s="11"/>
      <c r="M376" s="11"/>
      <c r="N376" s="11"/>
      <c r="O376" s="11"/>
      <c r="P376" s="11"/>
    </row>
    <row r="377" spans="7:16" x14ac:dyDescent="0.3">
      <c r="G377" t="s">
        <v>430</v>
      </c>
      <c r="I377" s="12" t="s">
        <v>1772</v>
      </c>
      <c r="J377" s="15" t="s">
        <v>1773</v>
      </c>
      <c r="K377" s="11"/>
      <c r="L377" s="11"/>
      <c r="M377" s="11"/>
      <c r="N377" s="11"/>
      <c r="O377" s="11"/>
      <c r="P377" s="11"/>
    </row>
    <row r="378" spans="7:16" x14ac:dyDescent="0.3">
      <c r="G378" t="s">
        <v>431</v>
      </c>
      <c r="I378" s="12" t="s">
        <v>1774</v>
      </c>
      <c r="J378" s="15" t="s">
        <v>1775</v>
      </c>
      <c r="K378" s="11"/>
      <c r="L378" s="11"/>
      <c r="M378" s="11"/>
      <c r="N378" s="11"/>
      <c r="O378" s="11"/>
      <c r="P378" s="11"/>
    </row>
    <row r="379" spans="7:16" x14ac:dyDescent="0.3">
      <c r="G379" t="s">
        <v>432</v>
      </c>
      <c r="I379" s="12" t="s">
        <v>1776</v>
      </c>
      <c r="J379" s="15" t="s">
        <v>1777</v>
      </c>
      <c r="K379" s="11"/>
      <c r="L379" s="11"/>
      <c r="M379" s="11"/>
      <c r="N379" s="11"/>
      <c r="O379" s="11"/>
      <c r="P379" s="11"/>
    </row>
    <row r="380" spans="7:16" x14ac:dyDescent="0.3">
      <c r="G380" t="s">
        <v>433</v>
      </c>
      <c r="I380" s="12" t="s">
        <v>1778</v>
      </c>
      <c r="J380" s="15" t="s">
        <v>1779</v>
      </c>
      <c r="K380" s="11"/>
      <c r="L380" s="11"/>
      <c r="M380" s="11"/>
      <c r="N380" s="11"/>
      <c r="O380" s="11"/>
      <c r="P380" s="11"/>
    </row>
    <row r="381" spans="7:16" x14ac:dyDescent="0.3">
      <c r="G381" t="s">
        <v>434</v>
      </c>
      <c r="I381" s="12" t="s">
        <v>1780</v>
      </c>
      <c r="J381" s="15" t="s">
        <v>1781</v>
      </c>
      <c r="K381" s="11"/>
      <c r="L381" s="11"/>
      <c r="M381" s="11"/>
      <c r="N381" s="11"/>
      <c r="O381" s="11"/>
      <c r="P381" s="11"/>
    </row>
    <row r="382" spans="7:16" x14ac:dyDescent="0.3">
      <c r="G382" t="s">
        <v>435</v>
      </c>
      <c r="I382" s="12" t="s">
        <v>1782</v>
      </c>
      <c r="J382" s="15" t="s">
        <v>1783</v>
      </c>
      <c r="K382" s="11"/>
      <c r="L382" s="11"/>
      <c r="M382" s="11"/>
      <c r="N382" s="11"/>
      <c r="O382" s="11"/>
      <c r="P382" s="11"/>
    </row>
    <row r="383" spans="7:16" x14ac:dyDescent="0.3">
      <c r="G383" t="s">
        <v>436</v>
      </c>
      <c r="I383" s="12" t="s">
        <v>1784</v>
      </c>
      <c r="J383" s="15" t="s">
        <v>1785</v>
      </c>
      <c r="K383" s="11"/>
      <c r="L383" s="11"/>
      <c r="M383" s="11"/>
      <c r="N383" s="11"/>
      <c r="O383" s="11"/>
      <c r="P383" s="11"/>
    </row>
    <row r="384" spans="7:16" x14ac:dyDescent="0.3">
      <c r="G384" t="s">
        <v>437</v>
      </c>
      <c r="I384" s="12" t="s">
        <v>1786</v>
      </c>
      <c r="J384" s="15" t="s">
        <v>1787</v>
      </c>
      <c r="K384" s="11"/>
      <c r="L384" s="11"/>
      <c r="M384" s="11"/>
      <c r="N384" s="11"/>
      <c r="O384" s="11"/>
      <c r="P384" s="11"/>
    </row>
    <row r="385" spans="7:16" x14ac:dyDescent="0.3">
      <c r="G385" t="s">
        <v>438</v>
      </c>
      <c r="I385" s="12" t="s">
        <v>1788</v>
      </c>
      <c r="J385" s="15" t="s">
        <v>1789</v>
      </c>
      <c r="K385" s="11"/>
      <c r="L385" s="11"/>
      <c r="M385" s="11"/>
      <c r="N385" s="11"/>
      <c r="O385" s="11"/>
      <c r="P385" s="11"/>
    </row>
    <row r="386" spans="7:16" x14ac:dyDescent="0.3">
      <c r="G386" t="s">
        <v>439</v>
      </c>
      <c r="I386" s="12" t="s">
        <v>1790</v>
      </c>
      <c r="J386" s="15" t="s">
        <v>1791</v>
      </c>
      <c r="K386" s="11"/>
      <c r="L386" s="11"/>
      <c r="M386" s="11"/>
      <c r="N386" s="11"/>
      <c r="O386" s="11"/>
      <c r="P386" s="11"/>
    </row>
    <row r="387" spans="7:16" x14ac:dyDescent="0.3">
      <c r="G387" t="s">
        <v>440</v>
      </c>
      <c r="I387" s="12" t="s">
        <v>1792</v>
      </c>
      <c r="J387" s="15" t="s">
        <v>1793</v>
      </c>
      <c r="K387" s="11"/>
      <c r="L387" s="11"/>
      <c r="M387" s="11"/>
      <c r="N387" s="11"/>
      <c r="O387" s="11"/>
      <c r="P387" s="11"/>
    </row>
    <row r="388" spans="7:16" x14ac:dyDescent="0.3">
      <c r="G388" t="s">
        <v>441</v>
      </c>
      <c r="I388" s="12" t="s">
        <v>1794</v>
      </c>
      <c r="J388" s="15" t="s">
        <v>1795</v>
      </c>
      <c r="K388" s="11"/>
      <c r="L388" s="11"/>
      <c r="M388" s="11"/>
      <c r="N388" s="11"/>
      <c r="O388" s="11"/>
      <c r="P388" s="11"/>
    </row>
    <row r="389" spans="7:16" x14ac:dyDescent="0.3">
      <c r="G389" t="s">
        <v>442</v>
      </c>
      <c r="I389" s="12" t="s">
        <v>1796</v>
      </c>
      <c r="J389" s="15" t="s">
        <v>1797</v>
      </c>
      <c r="K389" s="11"/>
      <c r="L389" s="11"/>
      <c r="M389" s="11"/>
      <c r="N389" s="11"/>
      <c r="O389" s="11"/>
      <c r="P389" s="11"/>
    </row>
    <row r="390" spans="7:16" x14ac:dyDescent="0.3">
      <c r="G390" t="s">
        <v>443</v>
      </c>
      <c r="I390" s="12" t="s">
        <v>1798</v>
      </c>
      <c r="J390" s="15" t="s">
        <v>1799</v>
      </c>
      <c r="K390" s="11"/>
      <c r="L390" s="11"/>
      <c r="M390" s="11"/>
      <c r="N390" s="11"/>
      <c r="O390" s="11"/>
      <c r="P390" s="11"/>
    </row>
    <row r="391" spans="7:16" x14ac:dyDescent="0.3">
      <c r="G391" t="s">
        <v>444</v>
      </c>
      <c r="I391" s="12" t="s">
        <v>1800</v>
      </c>
      <c r="J391" s="15" t="s">
        <v>1801</v>
      </c>
      <c r="K391" s="11"/>
      <c r="L391" s="11"/>
      <c r="M391" s="11"/>
      <c r="N391" s="11"/>
      <c r="O391" s="11"/>
      <c r="P391" s="11"/>
    </row>
    <row r="392" spans="7:16" x14ac:dyDescent="0.3">
      <c r="G392" t="s">
        <v>445</v>
      </c>
      <c r="I392" s="12" t="s">
        <v>1802</v>
      </c>
      <c r="J392" s="15" t="s">
        <v>1803</v>
      </c>
      <c r="K392" s="11"/>
      <c r="L392" s="11"/>
      <c r="M392" s="11"/>
      <c r="N392" s="11"/>
      <c r="O392" s="11"/>
      <c r="P392" s="11"/>
    </row>
    <row r="393" spans="7:16" x14ac:dyDescent="0.3">
      <c r="G393" t="s">
        <v>446</v>
      </c>
      <c r="I393" s="12" t="s">
        <v>1804</v>
      </c>
      <c r="J393" s="15" t="s">
        <v>1805</v>
      </c>
      <c r="K393" s="11"/>
      <c r="L393" s="11"/>
      <c r="M393" s="11"/>
      <c r="N393" s="11"/>
      <c r="O393" s="11"/>
      <c r="P393" s="11"/>
    </row>
    <row r="394" spans="7:16" x14ac:dyDescent="0.3">
      <c r="G394" t="s">
        <v>447</v>
      </c>
      <c r="I394" s="12" t="s">
        <v>1806</v>
      </c>
      <c r="J394" s="15" t="s">
        <v>1807</v>
      </c>
      <c r="K394" s="11"/>
      <c r="L394" s="11"/>
      <c r="M394" s="11"/>
      <c r="N394" s="11"/>
      <c r="O394" s="11"/>
      <c r="P394" s="11"/>
    </row>
    <row r="395" spans="7:16" x14ac:dyDescent="0.3">
      <c r="G395" t="s">
        <v>448</v>
      </c>
      <c r="I395" s="12" t="s">
        <v>1808</v>
      </c>
      <c r="J395" s="15" t="s">
        <v>1809</v>
      </c>
      <c r="K395" s="11"/>
      <c r="L395" s="11"/>
      <c r="M395" s="11"/>
      <c r="N395" s="11"/>
      <c r="O395" s="11"/>
      <c r="P395" s="11"/>
    </row>
    <row r="396" spans="7:16" x14ac:dyDescent="0.3">
      <c r="G396" t="s">
        <v>449</v>
      </c>
      <c r="I396" s="12" t="s">
        <v>1810</v>
      </c>
      <c r="J396" s="15" t="s">
        <v>1811</v>
      </c>
      <c r="K396" s="11"/>
      <c r="L396" s="11"/>
      <c r="M396" s="11"/>
      <c r="N396" s="11"/>
      <c r="O396" s="11"/>
      <c r="P396" s="11"/>
    </row>
    <row r="397" spans="7:16" x14ac:dyDescent="0.3">
      <c r="G397" t="s">
        <v>450</v>
      </c>
      <c r="I397" s="12" t="s">
        <v>1812</v>
      </c>
      <c r="J397" s="15" t="s">
        <v>1813</v>
      </c>
      <c r="K397" s="11"/>
      <c r="L397" s="11"/>
      <c r="M397" s="11"/>
      <c r="N397" s="11"/>
      <c r="O397" s="11"/>
      <c r="P397" s="11"/>
    </row>
    <row r="398" spans="7:16" x14ac:dyDescent="0.3">
      <c r="G398" t="s">
        <v>451</v>
      </c>
      <c r="I398" s="12" t="s">
        <v>1814</v>
      </c>
      <c r="J398" s="15" t="s">
        <v>1815</v>
      </c>
      <c r="K398" s="11"/>
      <c r="L398" s="11"/>
      <c r="M398" s="11"/>
      <c r="N398" s="11"/>
      <c r="O398" s="11"/>
      <c r="P398" s="11"/>
    </row>
    <row r="399" spans="7:16" x14ac:dyDescent="0.3">
      <c r="G399" t="s">
        <v>452</v>
      </c>
      <c r="I399" s="12" t="s">
        <v>1816</v>
      </c>
      <c r="J399" s="15" t="s">
        <v>1817</v>
      </c>
      <c r="K399" s="11"/>
      <c r="L399" s="11"/>
      <c r="M399" s="11"/>
      <c r="N399" s="11"/>
      <c r="O399" s="11"/>
      <c r="P399" s="11"/>
    </row>
    <row r="400" spans="7:16" x14ac:dyDescent="0.3">
      <c r="G400" t="s">
        <v>453</v>
      </c>
      <c r="I400" s="12" t="s">
        <v>1818</v>
      </c>
      <c r="J400" s="15" t="s">
        <v>1819</v>
      </c>
      <c r="K400" s="11"/>
      <c r="L400" s="11"/>
      <c r="M400" s="11"/>
      <c r="N400" s="11"/>
      <c r="O400" s="11"/>
      <c r="P400" s="11"/>
    </row>
    <row r="401" spans="7:16" x14ac:dyDescent="0.3">
      <c r="G401" t="s">
        <v>454</v>
      </c>
      <c r="I401" s="12" t="s">
        <v>1820</v>
      </c>
      <c r="J401" s="15" t="s">
        <v>1821</v>
      </c>
      <c r="K401" s="11"/>
      <c r="L401" s="11"/>
      <c r="M401" s="11"/>
      <c r="N401" s="11"/>
      <c r="O401" s="11"/>
      <c r="P401" s="11"/>
    </row>
    <row r="402" spans="7:16" x14ac:dyDescent="0.3">
      <c r="G402" t="s">
        <v>455</v>
      </c>
      <c r="I402" s="12" t="s">
        <v>1822</v>
      </c>
      <c r="J402" s="15" t="s">
        <v>1823</v>
      </c>
      <c r="K402" s="11"/>
      <c r="L402" s="11"/>
      <c r="M402" s="11"/>
      <c r="N402" s="11"/>
      <c r="O402" s="11"/>
      <c r="P402" s="11"/>
    </row>
    <row r="403" spans="7:16" x14ac:dyDescent="0.3">
      <c r="G403" t="s">
        <v>456</v>
      </c>
      <c r="I403" s="12" t="s">
        <v>1824</v>
      </c>
      <c r="J403" s="15" t="s">
        <v>1825</v>
      </c>
      <c r="K403" s="11"/>
      <c r="L403" s="11"/>
      <c r="M403" s="11"/>
      <c r="N403" s="11"/>
      <c r="O403" s="11"/>
      <c r="P403" s="11"/>
    </row>
    <row r="404" spans="7:16" x14ac:dyDescent="0.3">
      <c r="G404" t="s">
        <v>457</v>
      </c>
      <c r="I404" s="12" t="s">
        <v>1826</v>
      </c>
      <c r="J404" s="15" t="s">
        <v>1827</v>
      </c>
      <c r="K404" s="11"/>
      <c r="L404" s="11"/>
      <c r="M404" s="11"/>
      <c r="N404" s="11"/>
      <c r="O404" s="11"/>
      <c r="P404" s="11"/>
    </row>
    <row r="405" spans="7:16" x14ac:dyDescent="0.3">
      <c r="G405" t="s">
        <v>458</v>
      </c>
      <c r="I405" s="12" t="s">
        <v>1828</v>
      </c>
      <c r="J405" s="15" t="s">
        <v>1829</v>
      </c>
      <c r="K405" s="11"/>
      <c r="L405" s="11"/>
      <c r="M405" s="11"/>
      <c r="N405" s="11"/>
      <c r="O405" s="11"/>
      <c r="P405" s="11"/>
    </row>
    <row r="406" spans="7:16" x14ac:dyDescent="0.3">
      <c r="G406" t="s">
        <v>459</v>
      </c>
      <c r="I406" s="12" t="s">
        <v>1830</v>
      </c>
      <c r="J406" s="15" t="s">
        <v>1831</v>
      </c>
      <c r="K406" s="11"/>
      <c r="L406" s="11"/>
      <c r="M406" s="11"/>
      <c r="N406" s="11"/>
      <c r="O406" s="11"/>
      <c r="P406" s="11"/>
    </row>
    <row r="407" spans="7:16" x14ac:dyDescent="0.3">
      <c r="G407" t="s">
        <v>460</v>
      </c>
      <c r="I407" s="12" t="s">
        <v>1832</v>
      </c>
      <c r="J407" s="15" t="s">
        <v>1833</v>
      </c>
      <c r="K407" s="11"/>
      <c r="L407" s="11"/>
      <c r="M407" s="11"/>
      <c r="N407" s="11"/>
      <c r="O407" s="11"/>
      <c r="P407" s="11"/>
    </row>
    <row r="408" spans="7:16" x14ac:dyDescent="0.3">
      <c r="G408" t="s">
        <v>461</v>
      </c>
      <c r="I408" s="12" t="s">
        <v>1834</v>
      </c>
      <c r="J408" s="15" t="s">
        <v>1835</v>
      </c>
      <c r="K408" s="11"/>
      <c r="L408" s="11"/>
      <c r="M408" s="11"/>
      <c r="N408" s="11"/>
      <c r="O408" s="11"/>
      <c r="P408" s="11"/>
    </row>
    <row r="409" spans="7:16" x14ac:dyDescent="0.3">
      <c r="G409" t="s">
        <v>462</v>
      </c>
      <c r="I409" s="12" t="s">
        <v>1836</v>
      </c>
      <c r="J409" s="15" t="s">
        <v>1837</v>
      </c>
      <c r="K409" s="11"/>
      <c r="L409" s="11"/>
      <c r="M409" s="11"/>
      <c r="N409" s="11"/>
      <c r="O409" s="11"/>
      <c r="P409" s="11"/>
    </row>
    <row r="410" spans="7:16" x14ac:dyDescent="0.3">
      <c r="G410" t="s">
        <v>463</v>
      </c>
      <c r="I410" s="12" t="s">
        <v>1838</v>
      </c>
      <c r="J410" s="15" t="s">
        <v>1839</v>
      </c>
      <c r="K410" s="11"/>
      <c r="L410" s="11"/>
      <c r="M410" s="11"/>
      <c r="N410" s="11"/>
      <c r="O410" s="11"/>
      <c r="P410" s="11"/>
    </row>
    <row r="411" spans="7:16" x14ac:dyDescent="0.3">
      <c r="G411" t="s">
        <v>464</v>
      </c>
      <c r="I411" s="12" t="s">
        <v>1840</v>
      </c>
      <c r="J411" s="15" t="s">
        <v>1841</v>
      </c>
      <c r="K411" s="11"/>
      <c r="L411" s="11"/>
      <c r="M411" s="11"/>
      <c r="N411" s="11"/>
      <c r="O411" s="11"/>
      <c r="P411" s="11"/>
    </row>
    <row r="412" spans="7:16" x14ac:dyDescent="0.3">
      <c r="G412" t="s">
        <v>465</v>
      </c>
      <c r="I412" s="12" t="s">
        <v>1842</v>
      </c>
      <c r="J412" s="15" t="s">
        <v>1843</v>
      </c>
      <c r="K412" s="11"/>
      <c r="L412" s="11"/>
      <c r="M412" s="11"/>
      <c r="N412" s="11"/>
      <c r="O412" s="11"/>
      <c r="P412" s="11"/>
    </row>
    <row r="413" spans="7:16" x14ac:dyDescent="0.3">
      <c r="G413" t="s">
        <v>466</v>
      </c>
      <c r="I413" s="12" t="s">
        <v>1844</v>
      </c>
      <c r="J413" s="15" t="s">
        <v>1845</v>
      </c>
      <c r="K413" s="11"/>
      <c r="L413" s="11"/>
      <c r="M413" s="11"/>
      <c r="N413" s="11"/>
      <c r="O413" s="11"/>
      <c r="P413" s="11"/>
    </row>
    <row r="414" spans="7:16" x14ac:dyDescent="0.3">
      <c r="G414" t="s">
        <v>467</v>
      </c>
      <c r="I414" s="12" t="s">
        <v>1846</v>
      </c>
      <c r="J414" s="15" t="s">
        <v>1847</v>
      </c>
      <c r="K414" s="11"/>
      <c r="L414" s="11"/>
      <c r="M414" s="11"/>
      <c r="N414" s="11"/>
      <c r="O414" s="11"/>
      <c r="P414" s="11"/>
    </row>
    <row r="415" spans="7:16" x14ac:dyDescent="0.3">
      <c r="G415" t="s">
        <v>468</v>
      </c>
      <c r="I415" s="12" t="s">
        <v>1848</v>
      </c>
      <c r="J415" s="15" t="s">
        <v>1849</v>
      </c>
      <c r="K415" s="11"/>
      <c r="L415" s="11"/>
      <c r="M415" s="11"/>
      <c r="N415" s="11"/>
      <c r="O415" s="11"/>
      <c r="P415" s="11"/>
    </row>
    <row r="416" spans="7:16" x14ac:dyDescent="0.3">
      <c r="G416" t="s">
        <v>469</v>
      </c>
      <c r="I416" s="12" t="s">
        <v>1850</v>
      </c>
      <c r="J416" s="15" t="s">
        <v>1851</v>
      </c>
      <c r="K416" s="11"/>
      <c r="L416" s="11"/>
      <c r="M416" s="11"/>
      <c r="N416" s="11"/>
      <c r="O416" s="11"/>
      <c r="P416" s="11"/>
    </row>
    <row r="417" spans="7:16" x14ac:dyDescent="0.3">
      <c r="G417" t="s">
        <v>470</v>
      </c>
      <c r="I417" s="12" t="s">
        <v>1852</v>
      </c>
      <c r="J417" s="15" t="s">
        <v>1853</v>
      </c>
      <c r="K417" s="11"/>
      <c r="L417" s="11"/>
      <c r="M417" s="11"/>
      <c r="N417" s="11"/>
      <c r="O417" s="11"/>
      <c r="P417" s="11"/>
    </row>
    <row r="418" spans="7:16" x14ac:dyDescent="0.3">
      <c r="G418" t="s">
        <v>471</v>
      </c>
      <c r="I418" s="12" t="s">
        <v>1854</v>
      </c>
      <c r="J418" s="15" t="s">
        <v>1855</v>
      </c>
      <c r="K418" s="11"/>
      <c r="L418" s="11"/>
      <c r="M418" s="11"/>
      <c r="N418" s="11"/>
      <c r="O418" s="11"/>
      <c r="P418" s="11"/>
    </row>
    <row r="419" spans="7:16" x14ac:dyDescent="0.3">
      <c r="G419" t="s">
        <v>472</v>
      </c>
      <c r="I419" s="12" t="s">
        <v>1856</v>
      </c>
      <c r="J419" s="15" t="s">
        <v>1857</v>
      </c>
      <c r="K419" s="11"/>
      <c r="L419" s="11"/>
      <c r="M419" s="11"/>
      <c r="N419" s="11"/>
      <c r="O419" s="11"/>
      <c r="P419" s="11"/>
    </row>
    <row r="420" spans="7:16" x14ac:dyDescent="0.3">
      <c r="G420" t="s">
        <v>473</v>
      </c>
      <c r="I420" s="12" t="s">
        <v>1858</v>
      </c>
      <c r="J420" s="15" t="s">
        <v>1859</v>
      </c>
      <c r="K420" s="11"/>
      <c r="L420" s="11"/>
      <c r="M420" s="11"/>
      <c r="N420" s="11"/>
      <c r="O420" s="11"/>
      <c r="P420" s="11"/>
    </row>
    <row r="421" spans="7:16" x14ac:dyDescent="0.3">
      <c r="G421" t="s">
        <v>474</v>
      </c>
      <c r="I421" s="12" t="s">
        <v>1860</v>
      </c>
      <c r="J421" s="15" t="s">
        <v>1861</v>
      </c>
      <c r="K421" s="11"/>
      <c r="L421" s="11"/>
      <c r="M421" s="11"/>
      <c r="N421" s="11"/>
      <c r="O421" s="11"/>
      <c r="P421" s="11"/>
    </row>
    <row r="422" spans="7:16" x14ac:dyDescent="0.3">
      <c r="G422" t="s">
        <v>475</v>
      </c>
      <c r="I422" s="12" t="s">
        <v>1862</v>
      </c>
      <c r="J422" s="15" t="s">
        <v>1088</v>
      </c>
      <c r="K422" s="11"/>
      <c r="L422" s="11"/>
      <c r="M422" s="11"/>
      <c r="N422" s="11"/>
      <c r="O422" s="11"/>
      <c r="P422" s="11"/>
    </row>
    <row r="423" spans="7:16" x14ac:dyDescent="0.3">
      <c r="G423" t="s">
        <v>476</v>
      </c>
      <c r="I423" s="12" t="s">
        <v>1863</v>
      </c>
      <c r="J423" s="15" t="s">
        <v>1864</v>
      </c>
      <c r="K423" s="11"/>
      <c r="L423" s="11"/>
      <c r="M423" s="11"/>
      <c r="N423" s="11"/>
      <c r="O423" s="11"/>
      <c r="P423" s="11"/>
    </row>
    <row r="424" spans="7:16" x14ac:dyDescent="0.3">
      <c r="G424" t="s">
        <v>477</v>
      </c>
      <c r="I424" s="12" t="s">
        <v>1865</v>
      </c>
      <c r="J424" s="15" t="s">
        <v>1866</v>
      </c>
      <c r="K424" s="11"/>
      <c r="L424" s="11"/>
      <c r="M424" s="11"/>
      <c r="N424" s="11"/>
      <c r="O424" s="11"/>
      <c r="P424" s="11"/>
    </row>
    <row r="425" spans="7:16" x14ac:dyDescent="0.3">
      <c r="G425" t="s">
        <v>478</v>
      </c>
      <c r="I425" s="12" t="s">
        <v>1867</v>
      </c>
      <c r="J425" s="15" t="s">
        <v>1868</v>
      </c>
      <c r="K425" s="11"/>
      <c r="L425" s="11"/>
      <c r="M425" s="11"/>
      <c r="N425" s="11"/>
      <c r="O425" s="11"/>
      <c r="P425" s="11"/>
    </row>
    <row r="426" spans="7:16" x14ac:dyDescent="0.3">
      <c r="G426" t="s">
        <v>479</v>
      </c>
      <c r="I426" s="12" t="s">
        <v>1869</v>
      </c>
      <c r="J426" s="15" t="s">
        <v>1870</v>
      </c>
      <c r="K426" s="11"/>
      <c r="L426" s="11"/>
      <c r="M426" s="11"/>
      <c r="N426" s="11"/>
      <c r="O426" s="11"/>
      <c r="P426" s="11"/>
    </row>
    <row r="427" spans="7:16" x14ac:dyDescent="0.3">
      <c r="G427" t="s">
        <v>480</v>
      </c>
      <c r="I427" s="12" t="s">
        <v>1871</v>
      </c>
      <c r="J427" s="15" t="s">
        <v>1872</v>
      </c>
      <c r="K427" s="11"/>
      <c r="L427" s="11"/>
      <c r="M427" s="11"/>
      <c r="N427" s="11"/>
      <c r="O427" s="11"/>
      <c r="P427" s="11"/>
    </row>
    <row r="428" spans="7:16" x14ac:dyDescent="0.3">
      <c r="G428" t="s">
        <v>481</v>
      </c>
      <c r="I428" s="12" t="s">
        <v>1873</v>
      </c>
      <c r="J428" s="15" t="s">
        <v>1874</v>
      </c>
      <c r="K428" s="11"/>
      <c r="L428" s="11"/>
      <c r="M428" s="11"/>
      <c r="N428" s="11"/>
      <c r="O428" s="11"/>
      <c r="P428" s="11"/>
    </row>
    <row r="429" spans="7:16" x14ac:dyDescent="0.3">
      <c r="G429" t="s">
        <v>482</v>
      </c>
      <c r="I429" s="12" t="s">
        <v>1875</v>
      </c>
      <c r="J429" s="15" t="s">
        <v>1876</v>
      </c>
      <c r="K429" s="11"/>
      <c r="L429" s="11"/>
      <c r="M429" s="11"/>
      <c r="N429" s="11"/>
      <c r="O429" s="11"/>
      <c r="P429" s="11"/>
    </row>
    <row r="430" spans="7:16" x14ac:dyDescent="0.3">
      <c r="G430" t="s">
        <v>482</v>
      </c>
      <c r="I430" s="12" t="s">
        <v>1877</v>
      </c>
      <c r="J430" s="15" t="s">
        <v>1878</v>
      </c>
      <c r="K430" s="11"/>
      <c r="L430" s="11"/>
      <c r="M430" s="11"/>
      <c r="N430" s="11"/>
      <c r="O430" s="11"/>
      <c r="P430" s="11"/>
    </row>
    <row r="431" spans="7:16" x14ac:dyDescent="0.3">
      <c r="G431" t="s">
        <v>483</v>
      </c>
      <c r="I431" s="12" t="s">
        <v>1879</v>
      </c>
      <c r="J431" s="15" t="s">
        <v>1880</v>
      </c>
      <c r="K431" s="11"/>
      <c r="L431" s="11"/>
      <c r="M431" s="11"/>
      <c r="N431" s="11"/>
      <c r="O431" s="11"/>
      <c r="P431" s="11"/>
    </row>
    <row r="432" spans="7:16" x14ac:dyDescent="0.3">
      <c r="G432" t="s">
        <v>484</v>
      </c>
      <c r="I432" s="12" t="s">
        <v>1881</v>
      </c>
      <c r="J432" s="15" t="s">
        <v>1882</v>
      </c>
      <c r="K432" s="11"/>
      <c r="L432" s="11"/>
      <c r="M432" s="11"/>
      <c r="N432" s="11"/>
      <c r="O432" s="11"/>
      <c r="P432" s="11"/>
    </row>
    <row r="433" spans="7:16" x14ac:dyDescent="0.3">
      <c r="G433" t="s">
        <v>485</v>
      </c>
      <c r="I433" s="12" t="s">
        <v>1883</v>
      </c>
      <c r="J433" s="15" t="s">
        <v>1884</v>
      </c>
      <c r="K433" s="11"/>
      <c r="L433" s="11"/>
      <c r="M433" s="11"/>
      <c r="N433" s="11"/>
      <c r="O433" s="11"/>
      <c r="P433" s="11"/>
    </row>
    <row r="434" spans="7:16" x14ac:dyDescent="0.3">
      <c r="G434" t="s">
        <v>486</v>
      </c>
      <c r="I434" s="12" t="s">
        <v>1885</v>
      </c>
      <c r="J434" s="15" t="s">
        <v>1886</v>
      </c>
      <c r="K434" s="11"/>
      <c r="L434" s="11"/>
      <c r="M434" s="11"/>
      <c r="N434" s="11"/>
      <c r="O434" s="11"/>
      <c r="P434" s="11"/>
    </row>
    <row r="435" spans="7:16" x14ac:dyDescent="0.3">
      <c r="G435" t="s">
        <v>487</v>
      </c>
      <c r="I435" s="12" t="s">
        <v>1887</v>
      </c>
      <c r="J435" s="15" t="s">
        <v>1888</v>
      </c>
      <c r="K435" s="11"/>
      <c r="L435" s="11"/>
      <c r="M435" s="11"/>
      <c r="N435" s="11"/>
      <c r="O435" s="11"/>
      <c r="P435" s="11"/>
    </row>
    <row r="436" spans="7:16" x14ac:dyDescent="0.3">
      <c r="G436" t="s">
        <v>488</v>
      </c>
      <c r="I436" s="12" t="s">
        <v>1889</v>
      </c>
      <c r="J436" s="15" t="s">
        <v>1890</v>
      </c>
      <c r="K436" s="11"/>
      <c r="L436" s="11"/>
      <c r="M436" s="11"/>
      <c r="N436" s="11"/>
      <c r="O436" s="11"/>
      <c r="P436" s="11"/>
    </row>
    <row r="437" spans="7:16" x14ac:dyDescent="0.3">
      <c r="G437" t="s">
        <v>489</v>
      </c>
      <c r="I437" s="12" t="s">
        <v>1891</v>
      </c>
      <c r="J437" s="15" t="s">
        <v>1892</v>
      </c>
      <c r="K437" s="11"/>
      <c r="L437" s="11"/>
      <c r="M437" s="11"/>
      <c r="N437" s="11"/>
      <c r="O437" s="11"/>
      <c r="P437" s="11"/>
    </row>
    <row r="438" spans="7:16" x14ac:dyDescent="0.3">
      <c r="G438" t="s">
        <v>490</v>
      </c>
      <c r="I438" s="12" t="s">
        <v>1893</v>
      </c>
      <c r="J438" s="15" t="s">
        <v>1894</v>
      </c>
      <c r="K438" s="11"/>
      <c r="L438" s="11"/>
      <c r="M438" s="11"/>
      <c r="N438" s="11"/>
      <c r="O438" s="11"/>
      <c r="P438" s="11"/>
    </row>
    <row r="439" spans="7:16" x14ac:dyDescent="0.3">
      <c r="G439" t="s">
        <v>4</v>
      </c>
      <c r="I439" s="12" t="s">
        <v>1895</v>
      </c>
      <c r="J439" s="15" t="s">
        <v>1896</v>
      </c>
      <c r="K439" s="11"/>
      <c r="L439" s="11"/>
      <c r="M439" s="11"/>
      <c r="N439" s="11"/>
      <c r="O439" s="11"/>
      <c r="P439" s="11"/>
    </row>
    <row r="440" spans="7:16" x14ac:dyDescent="0.3">
      <c r="G440" t="s">
        <v>491</v>
      </c>
      <c r="I440" s="12" t="s">
        <v>1897</v>
      </c>
      <c r="J440" s="15" t="s">
        <v>1898</v>
      </c>
      <c r="K440" s="11"/>
      <c r="L440" s="11"/>
      <c r="M440" s="11"/>
      <c r="N440" s="11"/>
      <c r="O440" s="11"/>
      <c r="P440" s="11"/>
    </row>
    <row r="441" spans="7:16" x14ac:dyDescent="0.3">
      <c r="G441" t="s">
        <v>492</v>
      </c>
      <c r="I441" s="12" t="s">
        <v>1899</v>
      </c>
      <c r="J441" s="15" t="s">
        <v>1900</v>
      </c>
      <c r="K441" s="11"/>
      <c r="L441" s="11"/>
      <c r="M441" s="11"/>
      <c r="N441" s="11"/>
      <c r="O441" s="11"/>
      <c r="P441" s="11"/>
    </row>
    <row r="442" spans="7:16" x14ac:dyDescent="0.3">
      <c r="G442" t="s">
        <v>493</v>
      </c>
      <c r="I442" s="12" t="s">
        <v>1901</v>
      </c>
      <c r="J442" s="15" t="s">
        <v>1902</v>
      </c>
      <c r="K442" s="11"/>
      <c r="L442" s="11"/>
      <c r="M442" s="11"/>
      <c r="N442" s="11"/>
      <c r="O442" s="11"/>
      <c r="P442" s="11"/>
    </row>
    <row r="443" spans="7:16" x14ac:dyDescent="0.3">
      <c r="G443" t="s">
        <v>494</v>
      </c>
      <c r="I443" s="12" t="s">
        <v>1903</v>
      </c>
      <c r="J443" s="15" t="s">
        <v>1904</v>
      </c>
      <c r="K443" s="11"/>
      <c r="L443" s="11"/>
      <c r="M443" s="11"/>
      <c r="N443" s="11"/>
      <c r="O443" s="11"/>
      <c r="P443" s="11"/>
    </row>
    <row r="444" spans="7:16" x14ac:dyDescent="0.3">
      <c r="G444" t="s">
        <v>495</v>
      </c>
      <c r="I444" s="12" t="s">
        <v>1905</v>
      </c>
      <c r="J444" s="15" t="s">
        <v>1906</v>
      </c>
      <c r="K444" s="11"/>
      <c r="L444" s="11"/>
      <c r="M444" s="11"/>
      <c r="N444" s="11"/>
      <c r="O444" s="11"/>
      <c r="P444" s="11"/>
    </row>
    <row r="445" spans="7:16" x14ac:dyDescent="0.3">
      <c r="G445" t="s">
        <v>496</v>
      </c>
      <c r="I445" s="12" t="s">
        <v>1907</v>
      </c>
      <c r="J445" s="15" t="s">
        <v>1908</v>
      </c>
      <c r="K445" s="11"/>
      <c r="L445" s="11"/>
      <c r="M445" s="11"/>
      <c r="N445" s="11"/>
      <c r="O445" s="11"/>
      <c r="P445" s="11"/>
    </row>
    <row r="446" spans="7:16" x14ac:dyDescent="0.3">
      <c r="G446" t="s">
        <v>497</v>
      </c>
      <c r="I446" s="12" t="s">
        <v>1909</v>
      </c>
      <c r="J446" s="15" t="s">
        <v>1910</v>
      </c>
      <c r="K446" s="11"/>
      <c r="L446" s="11"/>
      <c r="M446" s="11"/>
      <c r="N446" s="11"/>
      <c r="O446" s="11"/>
      <c r="P446" s="11"/>
    </row>
    <row r="447" spans="7:16" x14ac:dyDescent="0.3">
      <c r="G447" t="s">
        <v>498</v>
      </c>
      <c r="I447" s="12" t="s">
        <v>1911</v>
      </c>
      <c r="J447" s="15" t="s">
        <v>1912</v>
      </c>
      <c r="K447" s="11"/>
      <c r="L447" s="11"/>
      <c r="M447" s="11"/>
      <c r="N447" s="11"/>
      <c r="O447" s="11"/>
      <c r="P447" s="11"/>
    </row>
    <row r="448" spans="7:16" x14ac:dyDescent="0.3">
      <c r="G448" t="s">
        <v>499</v>
      </c>
      <c r="I448" s="12" t="s">
        <v>1913</v>
      </c>
      <c r="J448" s="15" t="s">
        <v>1914</v>
      </c>
      <c r="K448" s="11"/>
      <c r="L448" s="11"/>
      <c r="M448" s="11"/>
      <c r="N448" s="11"/>
      <c r="O448" s="11"/>
      <c r="P448" s="11"/>
    </row>
    <row r="449" spans="7:16" x14ac:dyDescent="0.3">
      <c r="G449" t="s">
        <v>500</v>
      </c>
      <c r="I449" s="12" t="s">
        <v>1915</v>
      </c>
      <c r="J449" s="15" t="s">
        <v>1916</v>
      </c>
      <c r="K449" s="11"/>
      <c r="L449" s="11"/>
      <c r="M449" s="11"/>
      <c r="N449" s="11"/>
      <c r="O449" s="11"/>
      <c r="P449" s="11"/>
    </row>
    <row r="450" spans="7:16" x14ac:dyDescent="0.3">
      <c r="G450" t="s">
        <v>501</v>
      </c>
      <c r="I450" s="12" t="s">
        <v>1917</v>
      </c>
      <c r="J450" s="15" t="s">
        <v>1918</v>
      </c>
      <c r="K450" s="11"/>
      <c r="L450" s="11"/>
      <c r="M450" s="11"/>
      <c r="N450" s="11"/>
      <c r="O450" s="11"/>
      <c r="P450" s="11"/>
    </row>
    <row r="451" spans="7:16" x14ac:dyDescent="0.3">
      <c r="G451" t="s">
        <v>502</v>
      </c>
      <c r="I451" s="12" t="s">
        <v>1919</v>
      </c>
      <c r="J451" s="15" t="s">
        <v>1920</v>
      </c>
      <c r="K451" s="11"/>
      <c r="L451" s="11"/>
      <c r="M451" s="11"/>
      <c r="N451" s="11"/>
      <c r="O451" s="11"/>
      <c r="P451" s="11"/>
    </row>
    <row r="452" spans="7:16" x14ac:dyDescent="0.3">
      <c r="G452" t="s">
        <v>503</v>
      </c>
      <c r="I452" s="12" t="s">
        <v>1921</v>
      </c>
      <c r="J452" s="15" t="s">
        <v>1922</v>
      </c>
      <c r="K452" s="11"/>
      <c r="L452" s="11"/>
      <c r="M452" s="11"/>
      <c r="N452" s="11"/>
      <c r="O452" s="11"/>
      <c r="P452" s="11"/>
    </row>
    <row r="453" spans="7:16" x14ac:dyDescent="0.3">
      <c r="G453" t="s">
        <v>504</v>
      </c>
      <c r="I453" s="12" t="s">
        <v>1923</v>
      </c>
      <c r="J453" s="15" t="s">
        <v>1924</v>
      </c>
      <c r="K453" s="11"/>
      <c r="L453" s="11"/>
      <c r="M453" s="11"/>
      <c r="N453" s="11"/>
      <c r="O453" s="11"/>
      <c r="P453" s="11"/>
    </row>
    <row r="454" spans="7:16" x14ac:dyDescent="0.3">
      <c r="G454" t="s">
        <v>505</v>
      </c>
      <c r="I454" s="12" t="s">
        <v>1925</v>
      </c>
      <c r="J454" s="15" t="s">
        <v>1926</v>
      </c>
      <c r="K454" s="11"/>
      <c r="L454" s="11"/>
      <c r="M454" s="11"/>
      <c r="N454" s="11"/>
      <c r="O454" s="11"/>
      <c r="P454" s="11"/>
    </row>
    <row r="455" spans="7:16" x14ac:dyDescent="0.3">
      <c r="G455" t="s">
        <v>506</v>
      </c>
      <c r="I455" s="12" t="s">
        <v>1927</v>
      </c>
      <c r="J455" s="15" t="s">
        <v>1928</v>
      </c>
      <c r="K455" s="11"/>
      <c r="L455" s="11"/>
      <c r="M455" s="11"/>
      <c r="N455" s="11"/>
      <c r="O455" s="11"/>
      <c r="P455" s="11"/>
    </row>
    <row r="456" spans="7:16" x14ac:dyDescent="0.3">
      <c r="G456" t="s">
        <v>507</v>
      </c>
      <c r="I456" s="12" t="s">
        <v>1929</v>
      </c>
      <c r="J456" s="15" t="s">
        <v>1930</v>
      </c>
      <c r="K456" s="11"/>
      <c r="L456" s="11"/>
      <c r="M456" s="11"/>
      <c r="N456" s="11"/>
      <c r="O456" s="11"/>
      <c r="P456" s="11"/>
    </row>
    <row r="457" spans="7:16" x14ac:dyDescent="0.3">
      <c r="G457" t="s">
        <v>508</v>
      </c>
      <c r="I457" s="12" t="s">
        <v>1931</v>
      </c>
      <c r="J457" s="15" t="s">
        <v>1932</v>
      </c>
      <c r="K457" s="11"/>
      <c r="L457" s="11"/>
      <c r="M457" s="11"/>
      <c r="N457" s="11"/>
      <c r="O457" s="11"/>
      <c r="P457" s="11"/>
    </row>
    <row r="458" spans="7:16" x14ac:dyDescent="0.3">
      <c r="G458" t="s">
        <v>509</v>
      </c>
      <c r="I458" s="12" t="s">
        <v>1933</v>
      </c>
      <c r="J458" s="15" t="s">
        <v>1934</v>
      </c>
      <c r="K458" s="11"/>
      <c r="L458" s="11"/>
      <c r="M458" s="11"/>
      <c r="N458" s="11"/>
      <c r="O458" s="11"/>
      <c r="P458" s="11"/>
    </row>
    <row r="459" spans="7:16" x14ac:dyDescent="0.3">
      <c r="G459" t="s">
        <v>510</v>
      </c>
      <c r="I459" s="12" t="s">
        <v>1935</v>
      </c>
      <c r="J459" s="15" t="s">
        <v>1936</v>
      </c>
      <c r="K459" s="11"/>
      <c r="L459" s="11"/>
      <c r="M459" s="11"/>
      <c r="N459" s="11"/>
      <c r="O459" s="11"/>
      <c r="P459" s="11"/>
    </row>
    <row r="460" spans="7:16" x14ac:dyDescent="0.3">
      <c r="G460" t="s">
        <v>511</v>
      </c>
      <c r="I460" s="12" t="s">
        <v>1937</v>
      </c>
      <c r="J460" s="15" t="s">
        <v>1938</v>
      </c>
      <c r="K460" s="11"/>
      <c r="L460" s="11"/>
      <c r="M460" s="11"/>
      <c r="N460" s="11"/>
      <c r="O460" s="11"/>
      <c r="P460" s="11"/>
    </row>
    <row r="461" spans="7:16" x14ac:dyDescent="0.3">
      <c r="G461" t="s">
        <v>512</v>
      </c>
      <c r="I461" s="12" t="s">
        <v>1939</v>
      </c>
      <c r="J461" s="17" t="s">
        <v>1091</v>
      </c>
      <c r="K461" s="11"/>
      <c r="L461" s="11"/>
      <c r="M461" s="11"/>
      <c r="N461" s="11"/>
      <c r="O461" s="11"/>
      <c r="P461" s="11"/>
    </row>
    <row r="462" spans="7:16" x14ac:dyDescent="0.3">
      <c r="G462" t="s">
        <v>513</v>
      </c>
      <c r="I462" s="12" t="s">
        <v>1940</v>
      </c>
      <c r="J462" s="18"/>
      <c r="K462" s="11"/>
      <c r="L462" s="11"/>
      <c r="M462" s="11"/>
      <c r="N462" s="11"/>
      <c r="O462" s="11"/>
      <c r="P462" s="11"/>
    </row>
    <row r="463" spans="7:16" x14ac:dyDescent="0.3">
      <c r="G463" t="s">
        <v>514</v>
      </c>
      <c r="I463" s="12" t="s">
        <v>1941</v>
      </c>
      <c r="J463" s="18"/>
      <c r="K463" s="11"/>
      <c r="L463" s="11"/>
      <c r="M463" s="11"/>
      <c r="N463" s="11"/>
      <c r="O463" s="11"/>
      <c r="P463" s="11"/>
    </row>
    <row r="464" spans="7:16" x14ac:dyDescent="0.3">
      <c r="G464" t="s">
        <v>515</v>
      </c>
      <c r="I464" s="12" t="s">
        <v>1942</v>
      </c>
      <c r="J464" s="18"/>
      <c r="K464" s="11"/>
      <c r="L464" s="11"/>
      <c r="M464" s="11"/>
      <c r="N464" s="11"/>
      <c r="O464" s="11"/>
      <c r="P464" s="11"/>
    </row>
    <row r="465" spans="7:16" x14ac:dyDescent="0.3">
      <c r="G465" t="s">
        <v>516</v>
      </c>
      <c r="I465" s="12" t="s">
        <v>1943</v>
      </c>
      <c r="J465" s="18"/>
      <c r="K465" s="11"/>
      <c r="L465" s="11"/>
      <c r="M465" s="11"/>
      <c r="N465" s="11"/>
      <c r="O465" s="11"/>
      <c r="P465" s="11"/>
    </row>
    <row r="466" spans="7:16" x14ac:dyDescent="0.3">
      <c r="G466" t="s">
        <v>517</v>
      </c>
      <c r="I466" s="12" t="s">
        <v>1944</v>
      </c>
      <c r="J466" s="18"/>
      <c r="K466" s="11"/>
      <c r="L466" s="11"/>
      <c r="M466" s="11"/>
      <c r="N466" s="11"/>
      <c r="O466" s="11"/>
      <c r="P466" s="11"/>
    </row>
    <row r="467" spans="7:16" x14ac:dyDescent="0.3">
      <c r="G467" t="s">
        <v>518</v>
      </c>
      <c r="I467" s="12" t="s">
        <v>1945</v>
      </c>
      <c r="J467" s="18"/>
      <c r="K467" s="11"/>
      <c r="L467" s="11"/>
      <c r="M467" s="11"/>
      <c r="N467" s="11"/>
      <c r="O467" s="11"/>
      <c r="P467" s="11"/>
    </row>
    <row r="468" spans="7:16" x14ac:dyDescent="0.3">
      <c r="G468" t="s">
        <v>519</v>
      </c>
      <c r="I468" s="12" t="s">
        <v>1946</v>
      </c>
      <c r="J468" s="18"/>
      <c r="K468" s="11"/>
      <c r="L468" s="11"/>
      <c r="M468" s="11"/>
      <c r="N468" s="11"/>
      <c r="O468" s="11"/>
      <c r="P468" s="11"/>
    </row>
    <row r="469" spans="7:16" x14ac:dyDescent="0.3">
      <c r="G469" t="s">
        <v>520</v>
      </c>
      <c r="I469" s="12" t="s">
        <v>1947</v>
      </c>
      <c r="J469" s="18"/>
      <c r="K469" s="11"/>
      <c r="L469" s="11"/>
      <c r="M469" s="11"/>
      <c r="N469" s="11"/>
      <c r="O469" s="11"/>
      <c r="P469" s="11"/>
    </row>
    <row r="470" spans="7:16" x14ac:dyDescent="0.3">
      <c r="G470" t="s">
        <v>521</v>
      </c>
      <c r="I470" s="12" t="s">
        <v>1948</v>
      </c>
      <c r="J470" s="18"/>
      <c r="K470" s="11"/>
      <c r="L470" s="11"/>
      <c r="M470" s="11"/>
      <c r="N470" s="11"/>
      <c r="O470" s="11"/>
      <c r="P470" s="11"/>
    </row>
    <row r="471" spans="7:16" x14ac:dyDescent="0.3">
      <c r="G471" t="s">
        <v>522</v>
      </c>
      <c r="I471" s="12" t="s">
        <v>1949</v>
      </c>
      <c r="J471" s="18"/>
      <c r="K471" s="11"/>
      <c r="L471" s="11"/>
      <c r="M471" s="11"/>
      <c r="N471" s="11"/>
      <c r="O471" s="11"/>
      <c r="P471" s="11"/>
    </row>
    <row r="472" spans="7:16" x14ac:dyDescent="0.3">
      <c r="G472" t="s">
        <v>523</v>
      </c>
      <c r="I472" s="12" t="s">
        <v>1950</v>
      </c>
      <c r="J472" s="18"/>
      <c r="K472" s="11"/>
      <c r="L472" s="11"/>
      <c r="M472" s="11"/>
      <c r="N472" s="11"/>
      <c r="O472" s="11"/>
      <c r="P472" s="11"/>
    </row>
    <row r="473" spans="7:16" x14ac:dyDescent="0.3">
      <c r="G473" t="s">
        <v>524</v>
      </c>
      <c r="I473" s="12" t="s">
        <v>1951</v>
      </c>
      <c r="J473" s="18"/>
      <c r="K473" s="11"/>
      <c r="L473" s="11"/>
      <c r="M473" s="11"/>
      <c r="N473" s="11"/>
      <c r="O473" s="11"/>
      <c r="P473" s="11"/>
    </row>
    <row r="474" spans="7:16" x14ac:dyDescent="0.3">
      <c r="G474" t="s">
        <v>525</v>
      </c>
      <c r="I474" s="12" t="s">
        <v>1952</v>
      </c>
      <c r="J474" s="18"/>
      <c r="K474" s="11"/>
      <c r="L474" s="11"/>
      <c r="M474" s="11"/>
      <c r="N474" s="11"/>
      <c r="O474" s="11"/>
      <c r="P474" s="11"/>
    </row>
    <row r="475" spans="7:16" x14ac:dyDescent="0.3">
      <c r="G475" t="s">
        <v>526</v>
      </c>
      <c r="I475" s="12" t="s">
        <v>1953</v>
      </c>
      <c r="J475" s="18"/>
      <c r="K475" s="11"/>
      <c r="L475" s="11"/>
      <c r="M475" s="11"/>
      <c r="N475" s="11"/>
      <c r="O475" s="11"/>
      <c r="P475" s="11"/>
    </row>
    <row r="476" spans="7:16" x14ac:dyDescent="0.3">
      <c r="G476" t="s">
        <v>527</v>
      </c>
      <c r="I476" s="12" t="s">
        <v>1954</v>
      </c>
      <c r="J476" s="18"/>
      <c r="K476" s="11"/>
      <c r="L476" s="11"/>
      <c r="M476" s="11"/>
      <c r="N476" s="11"/>
      <c r="O476" s="11"/>
      <c r="P476" s="11"/>
    </row>
    <row r="477" spans="7:16" x14ac:dyDescent="0.3">
      <c r="G477" t="s">
        <v>528</v>
      </c>
      <c r="I477" s="12" t="s">
        <v>1955</v>
      </c>
      <c r="J477" s="18"/>
      <c r="K477" s="11"/>
      <c r="L477" s="11"/>
      <c r="M477" s="11"/>
      <c r="N477" s="11"/>
      <c r="O477" s="11"/>
      <c r="P477" s="11"/>
    </row>
    <row r="478" spans="7:16" x14ac:dyDescent="0.3">
      <c r="G478" t="s">
        <v>529</v>
      </c>
      <c r="I478" s="12" t="s">
        <v>1956</v>
      </c>
      <c r="J478" s="18"/>
      <c r="K478" s="11"/>
      <c r="L478" s="11"/>
      <c r="M478" s="11"/>
      <c r="N478" s="11"/>
      <c r="O478" s="11"/>
      <c r="P478" s="11"/>
    </row>
    <row r="479" spans="7:16" x14ac:dyDescent="0.3">
      <c r="G479" t="s">
        <v>530</v>
      </c>
      <c r="I479" s="12" t="s">
        <v>1957</v>
      </c>
      <c r="J479" s="18"/>
      <c r="K479" s="11"/>
      <c r="L479" s="11"/>
      <c r="M479" s="11"/>
      <c r="N479" s="11"/>
      <c r="O479" s="11"/>
      <c r="P479" s="11"/>
    </row>
    <row r="480" spans="7:16" x14ac:dyDescent="0.3">
      <c r="G480" t="s">
        <v>531</v>
      </c>
      <c r="I480" s="12" t="s">
        <v>1958</v>
      </c>
      <c r="J480" s="18"/>
      <c r="K480" s="11"/>
      <c r="L480" s="11"/>
      <c r="M480" s="11"/>
      <c r="N480" s="11"/>
      <c r="O480" s="11"/>
      <c r="P480" s="11"/>
    </row>
    <row r="481" spans="7:16" x14ac:dyDescent="0.3">
      <c r="G481" t="s">
        <v>532</v>
      </c>
      <c r="I481" s="12" t="s">
        <v>1959</v>
      </c>
      <c r="J481" s="18"/>
      <c r="K481" s="11"/>
      <c r="L481" s="11"/>
      <c r="M481" s="11"/>
      <c r="N481" s="11"/>
      <c r="O481" s="11"/>
      <c r="P481" s="11"/>
    </row>
    <row r="482" spans="7:16" x14ac:dyDescent="0.3">
      <c r="G482" t="s">
        <v>533</v>
      </c>
      <c r="I482" s="12" t="s">
        <v>1960</v>
      </c>
      <c r="J482" s="18"/>
      <c r="K482" s="11"/>
      <c r="L482" s="11"/>
      <c r="M482" s="11"/>
      <c r="N482" s="11"/>
      <c r="O482" s="11"/>
      <c r="P482" s="11"/>
    </row>
    <row r="483" spans="7:16" x14ac:dyDescent="0.3">
      <c r="G483" t="s">
        <v>534</v>
      </c>
      <c r="I483" s="12" t="s">
        <v>1961</v>
      </c>
      <c r="J483" s="18"/>
      <c r="K483" s="11"/>
      <c r="L483" s="11"/>
      <c r="M483" s="11"/>
      <c r="N483" s="11"/>
      <c r="O483" s="11"/>
      <c r="P483" s="11"/>
    </row>
    <row r="484" spans="7:16" x14ac:dyDescent="0.3">
      <c r="G484" t="s">
        <v>535</v>
      </c>
      <c r="I484" s="12" t="s">
        <v>1962</v>
      </c>
      <c r="J484" s="18"/>
      <c r="K484" s="11"/>
      <c r="L484" s="11"/>
      <c r="M484" s="11"/>
      <c r="N484" s="11"/>
      <c r="O484" s="11"/>
      <c r="P484" s="11"/>
    </row>
    <row r="485" spans="7:16" x14ac:dyDescent="0.3">
      <c r="G485" t="s">
        <v>536</v>
      </c>
      <c r="I485" s="12" t="s">
        <v>1963</v>
      </c>
      <c r="J485" s="18"/>
      <c r="K485" s="11"/>
      <c r="L485" s="11"/>
      <c r="M485" s="11"/>
      <c r="N485" s="11"/>
      <c r="O485" s="11"/>
      <c r="P485" s="11"/>
    </row>
    <row r="486" spans="7:16" x14ac:dyDescent="0.3">
      <c r="G486" t="s">
        <v>537</v>
      </c>
      <c r="I486" s="12" t="s">
        <v>1964</v>
      </c>
      <c r="J486" s="18"/>
      <c r="K486" s="11"/>
      <c r="L486" s="11"/>
      <c r="M486" s="11"/>
      <c r="N486" s="11"/>
      <c r="O486" s="11"/>
      <c r="P486" s="11"/>
    </row>
    <row r="487" spans="7:16" x14ac:dyDescent="0.3">
      <c r="G487" t="s">
        <v>538</v>
      </c>
      <c r="I487" s="12" t="s">
        <v>1965</v>
      </c>
      <c r="J487" s="18"/>
      <c r="K487" s="11"/>
      <c r="L487" s="11"/>
      <c r="M487" s="11"/>
      <c r="N487" s="11"/>
      <c r="O487" s="11"/>
      <c r="P487" s="11"/>
    </row>
    <row r="488" spans="7:16" x14ac:dyDescent="0.3">
      <c r="G488" t="s">
        <v>539</v>
      </c>
      <c r="I488" s="12" t="s">
        <v>1966</v>
      </c>
      <c r="J488" s="18"/>
      <c r="K488" s="11"/>
      <c r="L488" s="11"/>
      <c r="M488" s="11"/>
      <c r="N488" s="11"/>
      <c r="O488" s="11"/>
      <c r="P488" s="11"/>
    </row>
    <row r="489" spans="7:16" x14ac:dyDescent="0.3">
      <c r="G489" t="s">
        <v>540</v>
      </c>
      <c r="I489" s="12" t="s">
        <v>1967</v>
      </c>
      <c r="J489" s="18"/>
      <c r="K489" s="11"/>
      <c r="L489" s="11"/>
      <c r="M489" s="11"/>
      <c r="N489" s="11"/>
      <c r="O489" s="11"/>
      <c r="P489" s="11"/>
    </row>
    <row r="490" spans="7:16" x14ac:dyDescent="0.3">
      <c r="G490" t="s">
        <v>541</v>
      </c>
      <c r="I490" s="12" t="s">
        <v>1968</v>
      </c>
      <c r="J490" s="18"/>
      <c r="K490" s="11"/>
      <c r="L490" s="11"/>
      <c r="M490" s="11"/>
      <c r="N490" s="11"/>
      <c r="O490" s="11"/>
      <c r="P490" s="11"/>
    </row>
    <row r="491" spans="7:16" x14ac:dyDescent="0.3">
      <c r="G491" t="s">
        <v>542</v>
      </c>
      <c r="I491" s="12" t="s">
        <v>1969</v>
      </c>
      <c r="J491" s="18"/>
      <c r="K491" s="11"/>
      <c r="L491" s="11"/>
      <c r="M491" s="11"/>
      <c r="N491" s="11"/>
      <c r="O491" s="11"/>
      <c r="P491" s="11"/>
    </row>
    <row r="492" spans="7:16" x14ac:dyDescent="0.3">
      <c r="G492" t="s">
        <v>543</v>
      </c>
      <c r="I492" s="12" t="s">
        <v>1970</v>
      </c>
      <c r="J492" s="18"/>
      <c r="K492" s="11"/>
      <c r="L492" s="11"/>
      <c r="M492" s="11"/>
      <c r="N492" s="11"/>
      <c r="O492" s="11"/>
      <c r="P492" s="11"/>
    </row>
    <row r="493" spans="7:16" x14ac:dyDescent="0.3">
      <c r="G493" t="s">
        <v>544</v>
      </c>
      <c r="I493" s="12" t="s">
        <v>1971</v>
      </c>
      <c r="J493" s="18"/>
      <c r="K493" s="11"/>
      <c r="L493" s="11"/>
      <c r="M493" s="11"/>
      <c r="N493" s="11"/>
      <c r="O493" s="11"/>
      <c r="P493" s="11"/>
    </row>
    <row r="494" spans="7:16" x14ac:dyDescent="0.3">
      <c r="G494" t="s">
        <v>545</v>
      </c>
      <c r="I494" s="12" t="s">
        <v>1972</v>
      </c>
      <c r="J494" s="18"/>
      <c r="K494" s="11"/>
      <c r="L494" s="11"/>
      <c r="M494" s="11"/>
      <c r="N494" s="11"/>
      <c r="O494" s="11"/>
      <c r="P494" s="11"/>
    </row>
    <row r="495" spans="7:16" x14ac:dyDescent="0.3">
      <c r="G495" t="s">
        <v>546</v>
      </c>
      <c r="I495" s="12" t="s">
        <v>1973</v>
      </c>
      <c r="J495" s="18"/>
      <c r="K495" s="11"/>
      <c r="L495" s="11"/>
      <c r="M495" s="11"/>
      <c r="N495" s="11"/>
      <c r="O495" s="11"/>
      <c r="P495" s="11"/>
    </row>
    <row r="496" spans="7:16" x14ac:dyDescent="0.3">
      <c r="G496" t="s">
        <v>547</v>
      </c>
      <c r="I496" s="12" t="s">
        <v>1974</v>
      </c>
      <c r="J496" s="18"/>
      <c r="K496" s="11"/>
      <c r="L496" s="11"/>
      <c r="M496" s="11"/>
      <c r="N496" s="11"/>
      <c r="O496" s="11"/>
      <c r="P496" s="11"/>
    </row>
    <row r="497" spans="7:16" x14ac:dyDescent="0.3">
      <c r="G497" t="s">
        <v>548</v>
      </c>
      <c r="I497" s="12" t="s">
        <v>1975</v>
      </c>
      <c r="J497" s="18"/>
      <c r="K497" s="11"/>
      <c r="L497" s="11"/>
      <c r="M497" s="11"/>
      <c r="N497" s="11"/>
      <c r="O497" s="11"/>
      <c r="P497" s="11"/>
    </row>
    <row r="498" spans="7:16" x14ac:dyDescent="0.3">
      <c r="G498" t="s">
        <v>549</v>
      </c>
      <c r="I498" s="12" t="s">
        <v>1976</v>
      </c>
      <c r="J498" s="18"/>
      <c r="K498" s="11"/>
      <c r="L498" s="11"/>
      <c r="M498" s="11"/>
      <c r="N498" s="11"/>
      <c r="O498" s="11"/>
      <c r="P498" s="11"/>
    </row>
    <row r="499" spans="7:16" x14ac:dyDescent="0.3">
      <c r="G499" t="s">
        <v>550</v>
      </c>
      <c r="I499" s="12" t="s">
        <v>1977</v>
      </c>
      <c r="J499" s="18"/>
      <c r="K499" s="11"/>
      <c r="L499" s="11"/>
      <c r="M499" s="11"/>
      <c r="N499" s="11"/>
      <c r="O499" s="11"/>
      <c r="P499" s="11"/>
    </row>
    <row r="500" spans="7:16" x14ac:dyDescent="0.3">
      <c r="G500" t="s">
        <v>551</v>
      </c>
      <c r="I500" s="12" t="s">
        <v>1978</v>
      </c>
      <c r="J500" s="18"/>
      <c r="K500" s="11"/>
      <c r="L500" s="11"/>
      <c r="M500" s="11"/>
      <c r="N500" s="11"/>
      <c r="O500" s="11"/>
      <c r="P500" s="11"/>
    </row>
    <row r="501" spans="7:16" x14ac:dyDescent="0.3">
      <c r="G501" t="s">
        <v>552</v>
      </c>
      <c r="I501" s="12" t="s">
        <v>1979</v>
      </c>
      <c r="J501" s="18"/>
      <c r="K501" s="11"/>
      <c r="L501" s="11"/>
      <c r="M501" s="11"/>
      <c r="N501" s="11"/>
      <c r="O501" s="11"/>
      <c r="P501" s="11"/>
    </row>
    <row r="502" spans="7:16" x14ac:dyDescent="0.3">
      <c r="G502" t="s">
        <v>553</v>
      </c>
      <c r="I502" s="12" t="s">
        <v>1980</v>
      </c>
      <c r="J502" s="18"/>
      <c r="K502" s="11"/>
      <c r="L502" s="11"/>
      <c r="M502" s="11"/>
      <c r="N502" s="11"/>
      <c r="O502" s="11"/>
      <c r="P502" s="11"/>
    </row>
    <row r="503" spans="7:16" x14ac:dyDescent="0.3">
      <c r="G503" t="s">
        <v>554</v>
      </c>
      <c r="I503" s="12" t="s">
        <v>1981</v>
      </c>
      <c r="J503" s="18"/>
      <c r="K503" s="11"/>
      <c r="L503" s="11"/>
      <c r="M503" s="11"/>
      <c r="N503" s="11"/>
      <c r="O503" s="11"/>
      <c r="P503" s="11"/>
    </row>
    <row r="504" spans="7:16" x14ac:dyDescent="0.3">
      <c r="G504" t="s">
        <v>555</v>
      </c>
      <c r="I504" s="12" t="s">
        <v>1982</v>
      </c>
      <c r="J504" s="18"/>
      <c r="K504" s="11"/>
      <c r="L504" s="11"/>
      <c r="M504" s="11"/>
      <c r="N504" s="11"/>
      <c r="O504" s="11"/>
      <c r="P504" s="11"/>
    </row>
    <row r="505" spans="7:16" x14ac:dyDescent="0.3">
      <c r="G505" t="s">
        <v>556</v>
      </c>
      <c r="I505" s="12" t="s">
        <v>1983</v>
      </c>
      <c r="J505" s="18"/>
      <c r="K505" s="11"/>
      <c r="L505" s="11"/>
      <c r="M505" s="11"/>
      <c r="N505" s="11"/>
      <c r="O505" s="11"/>
      <c r="P505" s="11"/>
    </row>
    <row r="506" spans="7:16" x14ac:dyDescent="0.3">
      <c r="G506" t="s">
        <v>557</v>
      </c>
      <c r="I506" s="12" t="s">
        <v>1984</v>
      </c>
      <c r="J506" s="18"/>
      <c r="K506" s="11"/>
      <c r="L506" s="11"/>
      <c r="M506" s="11"/>
      <c r="N506" s="11"/>
      <c r="O506" s="11"/>
      <c r="P506" s="11"/>
    </row>
    <row r="507" spans="7:16" x14ac:dyDescent="0.3">
      <c r="G507" t="s">
        <v>558</v>
      </c>
      <c r="I507" s="12" t="s">
        <v>1985</v>
      </c>
      <c r="J507" s="18"/>
      <c r="K507" s="11"/>
      <c r="L507" s="11"/>
      <c r="M507" s="11"/>
      <c r="N507" s="11"/>
      <c r="O507" s="11"/>
      <c r="P507" s="11"/>
    </row>
    <row r="508" spans="7:16" x14ac:dyDescent="0.3">
      <c r="G508" t="s">
        <v>559</v>
      </c>
      <c r="I508" s="12" t="s">
        <v>1986</v>
      </c>
      <c r="J508" s="18"/>
      <c r="K508" s="11"/>
      <c r="L508" s="11"/>
      <c r="M508" s="11"/>
      <c r="N508" s="11"/>
      <c r="O508" s="11"/>
      <c r="P508" s="11"/>
    </row>
    <row r="509" spans="7:16" x14ac:dyDescent="0.3">
      <c r="G509" t="s">
        <v>560</v>
      </c>
      <c r="I509" s="12" t="s">
        <v>1987</v>
      </c>
      <c r="J509" s="18"/>
      <c r="K509" s="11"/>
      <c r="L509" s="11"/>
      <c r="M509" s="11"/>
      <c r="N509" s="11"/>
      <c r="O509" s="11"/>
      <c r="P509" s="11"/>
    </row>
    <row r="510" spans="7:16" x14ac:dyDescent="0.3">
      <c r="G510" t="s">
        <v>561</v>
      </c>
      <c r="I510" s="12" t="s">
        <v>1988</v>
      </c>
      <c r="J510" s="18"/>
      <c r="K510" s="11"/>
      <c r="L510" s="11"/>
      <c r="M510" s="11"/>
      <c r="N510" s="11"/>
      <c r="O510" s="11"/>
      <c r="P510" s="11"/>
    </row>
    <row r="511" spans="7:16" x14ac:dyDescent="0.3">
      <c r="G511" t="s">
        <v>562</v>
      </c>
      <c r="I511" s="12" t="s">
        <v>1989</v>
      </c>
      <c r="J511" s="18"/>
      <c r="K511" s="11"/>
      <c r="L511" s="11"/>
      <c r="M511" s="11"/>
      <c r="N511" s="11"/>
      <c r="O511" s="11"/>
      <c r="P511" s="11"/>
    </row>
    <row r="512" spans="7:16" x14ac:dyDescent="0.3">
      <c r="G512" t="s">
        <v>563</v>
      </c>
      <c r="I512" s="12" t="s">
        <v>1990</v>
      </c>
      <c r="J512" s="18"/>
      <c r="K512" s="11"/>
      <c r="L512" s="11"/>
      <c r="M512" s="11"/>
      <c r="N512" s="11"/>
      <c r="O512" s="11"/>
      <c r="P512" s="11"/>
    </row>
    <row r="513" spans="7:16" x14ac:dyDescent="0.3">
      <c r="G513" t="s">
        <v>564</v>
      </c>
      <c r="I513" s="12" t="s">
        <v>1991</v>
      </c>
      <c r="J513" s="18"/>
      <c r="K513" s="11"/>
      <c r="L513" s="11"/>
      <c r="M513" s="11"/>
      <c r="N513" s="11"/>
      <c r="O513" s="11"/>
      <c r="P513" s="11"/>
    </row>
    <row r="514" spans="7:16" x14ac:dyDescent="0.3">
      <c r="G514" t="s">
        <v>565</v>
      </c>
      <c r="I514" s="12" t="s">
        <v>1992</v>
      </c>
      <c r="J514" s="18"/>
      <c r="K514" s="11"/>
      <c r="L514" s="11"/>
      <c r="M514" s="11"/>
      <c r="N514" s="11"/>
      <c r="O514" s="11"/>
      <c r="P514" s="11"/>
    </row>
    <row r="515" spans="7:16" x14ac:dyDescent="0.3">
      <c r="G515" t="s">
        <v>566</v>
      </c>
      <c r="I515" s="12" t="s">
        <v>1993</v>
      </c>
      <c r="J515" s="18"/>
      <c r="K515" s="11"/>
      <c r="L515" s="11"/>
      <c r="M515" s="11"/>
      <c r="N515" s="11"/>
      <c r="O515" s="11"/>
      <c r="P515" s="11"/>
    </row>
    <row r="516" spans="7:16" x14ac:dyDescent="0.3">
      <c r="G516" t="s">
        <v>567</v>
      </c>
      <c r="I516" s="12" t="s">
        <v>1994</v>
      </c>
      <c r="J516" s="18"/>
      <c r="K516" s="11"/>
      <c r="L516" s="11"/>
      <c r="M516" s="11"/>
      <c r="N516" s="11"/>
      <c r="O516" s="11"/>
      <c r="P516" s="11"/>
    </row>
    <row r="517" spans="7:16" x14ac:dyDescent="0.3">
      <c r="G517" t="s">
        <v>568</v>
      </c>
      <c r="I517" s="12" t="s">
        <v>1995</v>
      </c>
      <c r="J517" s="18"/>
      <c r="K517" s="11"/>
      <c r="L517" s="11"/>
      <c r="M517" s="11"/>
      <c r="N517" s="11"/>
      <c r="O517" s="11"/>
      <c r="P517" s="11"/>
    </row>
    <row r="518" spans="7:16" x14ac:dyDescent="0.3">
      <c r="G518" t="s">
        <v>569</v>
      </c>
      <c r="I518" s="12" t="s">
        <v>1996</v>
      </c>
      <c r="J518" s="18"/>
      <c r="K518" s="11"/>
      <c r="L518" s="11"/>
      <c r="M518" s="11"/>
      <c r="N518" s="11"/>
      <c r="O518" s="11"/>
      <c r="P518" s="11"/>
    </row>
    <row r="519" spans="7:16" x14ac:dyDescent="0.3">
      <c r="G519" t="s">
        <v>570</v>
      </c>
      <c r="I519" s="12" t="s">
        <v>1997</v>
      </c>
      <c r="J519" s="18"/>
      <c r="K519" s="11"/>
      <c r="L519" s="11"/>
      <c r="M519" s="11"/>
      <c r="N519" s="11"/>
      <c r="O519" s="11"/>
      <c r="P519" s="11"/>
    </row>
    <row r="520" spans="7:16" x14ac:dyDescent="0.3">
      <c r="G520" t="s">
        <v>571</v>
      </c>
      <c r="I520" s="12" t="s">
        <v>1998</v>
      </c>
      <c r="J520" s="18"/>
      <c r="K520" s="11"/>
      <c r="L520" s="11"/>
      <c r="M520" s="11"/>
      <c r="N520" s="11"/>
      <c r="O520" s="11"/>
      <c r="P520" s="11"/>
    </row>
    <row r="521" spans="7:16" x14ac:dyDescent="0.3">
      <c r="G521" t="s">
        <v>572</v>
      </c>
      <c r="I521" s="12" t="s">
        <v>1999</v>
      </c>
      <c r="J521" s="18"/>
      <c r="K521" s="11"/>
      <c r="L521" s="11"/>
      <c r="M521" s="11"/>
      <c r="N521" s="11"/>
      <c r="O521" s="11"/>
      <c r="P521" s="11"/>
    </row>
    <row r="522" spans="7:16" x14ac:dyDescent="0.3">
      <c r="G522" t="s">
        <v>573</v>
      </c>
      <c r="I522" s="12" t="s">
        <v>2000</v>
      </c>
      <c r="J522" s="18"/>
      <c r="K522" s="11"/>
      <c r="L522" s="11"/>
      <c r="M522" s="11"/>
      <c r="N522" s="11"/>
      <c r="O522" s="11"/>
      <c r="P522" s="11"/>
    </row>
    <row r="523" spans="7:16" x14ac:dyDescent="0.3">
      <c r="G523" t="s">
        <v>574</v>
      </c>
      <c r="I523" s="12" t="s">
        <v>2001</v>
      </c>
      <c r="J523" s="18"/>
      <c r="K523" s="11"/>
      <c r="L523" s="11"/>
      <c r="M523" s="11"/>
      <c r="N523" s="11"/>
      <c r="O523" s="11"/>
      <c r="P523" s="11"/>
    </row>
    <row r="524" spans="7:16" x14ac:dyDescent="0.3">
      <c r="G524" t="s">
        <v>575</v>
      </c>
      <c r="I524" s="12" t="s">
        <v>2002</v>
      </c>
      <c r="J524" s="18"/>
      <c r="K524" s="11"/>
      <c r="L524" s="11"/>
      <c r="M524" s="11"/>
      <c r="N524" s="11"/>
      <c r="O524" s="11"/>
      <c r="P524" s="11"/>
    </row>
    <row r="525" spans="7:16" x14ac:dyDescent="0.3">
      <c r="G525" t="s">
        <v>576</v>
      </c>
      <c r="I525" s="12" t="s">
        <v>2003</v>
      </c>
      <c r="J525" s="18"/>
      <c r="K525" s="11"/>
      <c r="L525" s="11"/>
      <c r="M525" s="11"/>
      <c r="N525" s="11"/>
      <c r="O525" s="11"/>
      <c r="P525" s="11"/>
    </row>
    <row r="526" spans="7:16" x14ac:dyDescent="0.3">
      <c r="G526" t="s">
        <v>577</v>
      </c>
      <c r="I526" s="12" t="s">
        <v>2004</v>
      </c>
      <c r="J526" s="18"/>
      <c r="K526" s="11"/>
      <c r="L526" s="11"/>
      <c r="M526" s="11"/>
      <c r="N526" s="11"/>
      <c r="O526" s="11"/>
      <c r="P526" s="11"/>
    </row>
    <row r="527" spans="7:16" x14ac:dyDescent="0.3">
      <c r="G527" t="s">
        <v>578</v>
      </c>
      <c r="I527" s="12" t="s">
        <v>2005</v>
      </c>
      <c r="J527" s="18"/>
      <c r="K527" s="11"/>
      <c r="L527" s="11"/>
      <c r="M527" s="11"/>
      <c r="N527" s="11"/>
      <c r="O527" s="11"/>
      <c r="P527" s="11"/>
    </row>
    <row r="528" spans="7:16" x14ac:dyDescent="0.3">
      <c r="G528" t="s">
        <v>579</v>
      </c>
      <c r="I528" s="12" t="s">
        <v>2006</v>
      </c>
      <c r="J528" s="18"/>
      <c r="K528" s="11"/>
      <c r="L528" s="11"/>
      <c r="M528" s="11"/>
      <c r="N528" s="11"/>
      <c r="O528" s="11"/>
      <c r="P528" s="11"/>
    </row>
    <row r="529" spans="7:16" x14ac:dyDescent="0.3">
      <c r="G529" t="s">
        <v>580</v>
      </c>
      <c r="I529" s="12" t="s">
        <v>2007</v>
      </c>
      <c r="J529" s="18"/>
      <c r="K529" s="11"/>
      <c r="L529" s="11"/>
      <c r="M529" s="11"/>
      <c r="N529" s="11"/>
      <c r="O529" s="11"/>
      <c r="P529" s="11"/>
    </row>
    <row r="530" spans="7:16" x14ac:dyDescent="0.3">
      <c r="G530" t="s">
        <v>581</v>
      </c>
      <c r="I530" s="12" t="s">
        <v>2008</v>
      </c>
      <c r="J530" s="18"/>
      <c r="K530" s="11"/>
      <c r="L530" s="11"/>
      <c r="M530" s="11"/>
      <c r="N530" s="11"/>
      <c r="O530" s="11"/>
      <c r="P530" s="11"/>
    </row>
    <row r="531" spans="7:16" x14ac:dyDescent="0.3">
      <c r="G531" t="s">
        <v>582</v>
      </c>
      <c r="I531" s="12" t="s">
        <v>2009</v>
      </c>
      <c r="J531" s="18"/>
      <c r="K531" s="11"/>
      <c r="L531" s="11"/>
      <c r="M531" s="11"/>
      <c r="N531" s="11"/>
      <c r="O531" s="11"/>
      <c r="P531" s="11"/>
    </row>
    <row r="532" spans="7:16" x14ac:dyDescent="0.3">
      <c r="G532" t="s">
        <v>583</v>
      </c>
      <c r="I532" s="12" t="s">
        <v>2010</v>
      </c>
      <c r="J532" s="18"/>
      <c r="K532" s="11"/>
      <c r="L532" s="11"/>
      <c r="M532" s="11"/>
      <c r="N532" s="11"/>
      <c r="O532" s="11"/>
      <c r="P532" s="11"/>
    </row>
    <row r="533" spans="7:16" x14ac:dyDescent="0.3">
      <c r="G533" t="s">
        <v>584</v>
      </c>
      <c r="I533" s="12" t="s">
        <v>2011</v>
      </c>
      <c r="J533" s="18"/>
      <c r="K533" s="11"/>
      <c r="L533" s="11"/>
      <c r="M533" s="11"/>
      <c r="N533" s="11"/>
      <c r="O533" s="11"/>
      <c r="P533" s="11"/>
    </row>
    <row r="534" spans="7:16" x14ac:dyDescent="0.3">
      <c r="G534" t="s">
        <v>9</v>
      </c>
      <c r="I534" s="12" t="s">
        <v>2012</v>
      </c>
      <c r="J534" s="18"/>
      <c r="K534" s="11"/>
      <c r="L534" s="11"/>
      <c r="M534" s="11"/>
      <c r="N534" s="11"/>
      <c r="O534" s="11"/>
      <c r="P534" s="11"/>
    </row>
    <row r="535" spans="7:16" x14ac:dyDescent="0.3">
      <c r="G535" t="s">
        <v>585</v>
      </c>
      <c r="I535" s="12" t="s">
        <v>2013</v>
      </c>
      <c r="J535" s="18"/>
      <c r="K535" s="11"/>
      <c r="L535" s="11"/>
      <c r="M535" s="11"/>
      <c r="N535" s="11"/>
      <c r="O535" s="11"/>
      <c r="P535" s="11"/>
    </row>
    <row r="536" spans="7:16" x14ac:dyDescent="0.3">
      <c r="G536" t="s">
        <v>586</v>
      </c>
      <c r="I536" s="12" t="s">
        <v>2014</v>
      </c>
      <c r="J536" s="18"/>
      <c r="K536" s="11"/>
      <c r="L536" s="11"/>
      <c r="M536" s="11"/>
      <c r="N536" s="11"/>
      <c r="O536" s="11"/>
      <c r="P536" s="11"/>
    </row>
    <row r="537" spans="7:16" x14ac:dyDescent="0.3">
      <c r="G537" t="s">
        <v>587</v>
      </c>
      <c r="I537" s="12" t="s">
        <v>2015</v>
      </c>
      <c r="J537" s="18"/>
      <c r="K537" s="11"/>
      <c r="L537" s="11"/>
      <c r="M537" s="11"/>
      <c r="N537" s="11"/>
      <c r="O537" s="11"/>
      <c r="P537" s="11"/>
    </row>
    <row r="538" spans="7:16" x14ac:dyDescent="0.3">
      <c r="G538" t="s">
        <v>588</v>
      </c>
      <c r="I538" s="12" t="s">
        <v>2016</v>
      </c>
      <c r="J538" s="18"/>
      <c r="K538" s="11"/>
      <c r="L538" s="11"/>
      <c r="M538" s="11"/>
      <c r="N538" s="11"/>
      <c r="O538" s="11"/>
      <c r="P538" s="11"/>
    </row>
    <row r="539" spans="7:16" x14ac:dyDescent="0.3">
      <c r="G539" t="s">
        <v>589</v>
      </c>
      <c r="I539" s="12" t="s">
        <v>2017</v>
      </c>
      <c r="J539" s="18"/>
      <c r="K539" s="11"/>
      <c r="L539" s="11"/>
      <c r="M539" s="11"/>
      <c r="N539" s="11"/>
      <c r="O539" s="11"/>
      <c r="P539" s="11"/>
    </row>
    <row r="540" spans="7:16" x14ac:dyDescent="0.3">
      <c r="G540" t="s">
        <v>590</v>
      </c>
      <c r="I540" s="12" t="s">
        <v>2018</v>
      </c>
      <c r="J540" s="18"/>
      <c r="K540" s="11"/>
      <c r="L540" s="11"/>
      <c r="M540" s="11"/>
      <c r="N540" s="11"/>
      <c r="O540" s="11"/>
      <c r="P540" s="11"/>
    </row>
    <row r="541" spans="7:16" x14ac:dyDescent="0.3">
      <c r="G541" t="s">
        <v>591</v>
      </c>
      <c r="I541" s="12" t="s">
        <v>2019</v>
      </c>
      <c r="J541" s="18"/>
      <c r="K541" s="11"/>
      <c r="L541" s="11"/>
      <c r="M541" s="11"/>
      <c r="N541" s="11"/>
      <c r="O541" s="11"/>
      <c r="P541" s="11"/>
    </row>
    <row r="542" spans="7:16" x14ac:dyDescent="0.3">
      <c r="G542" t="s">
        <v>592</v>
      </c>
      <c r="I542" s="12" t="s">
        <v>2020</v>
      </c>
      <c r="J542" s="18"/>
      <c r="K542" s="11"/>
      <c r="L542" s="11"/>
      <c r="M542" s="11"/>
      <c r="N542" s="11"/>
      <c r="O542" s="11"/>
      <c r="P542" s="11"/>
    </row>
    <row r="543" spans="7:16" x14ac:dyDescent="0.3">
      <c r="G543" t="s">
        <v>593</v>
      </c>
      <c r="I543" s="12" t="s">
        <v>2021</v>
      </c>
      <c r="J543" s="18"/>
      <c r="K543" s="11"/>
      <c r="L543" s="11"/>
      <c r="M543" s="11"/>
      <c r="N543" s="11"/>
      <c r="O543" s="11"/>
      <c r="P543" s="11"/>
    </row>
    <row r="544" spans="7:16" x14ac:dyDescent="0.3">
      <c r="G544" t="s">
        <v>594</v>
      </c>
      <c r="I544" s="12" t="s">
        <v>2022</v>
      </c>
      <c r="J544" s="18"/>
      <c r="K544" s="11"/>
      <c r="L544" s="11"/>
      <c r="M544" s="11"/>
      <c r="N544" s="11"/>
      <c r="O544" s="11"/>
      <c r="P544" s="11"/>
    </row>
    <row r="545" spans="7:16" x14ac:dyDescent="0.3">
      <c r="G545" t="s">
        <v>595</v>
      </c>
      <c r="I545" s="12" t="s">
        <v>2023</v>
      </c>
      <c r="J545" s="18"/>
      <c r="K545" s="11"/>
      <c r="L545" s="11"/>
      <c r="M545" s="11"/>
      <c r="N545" s="11"/>
      <c r="O545" s="11"/>
      <c r="P545" s="11"/>
    </row>
    <row r="546" spans="7:16" x14ac:dyDescent="0.3">
      <c r="G546" t="s">
        <v>596</v>
      </c>
      <c r="I546" s="12" t="s">
        <v>2024</v>
      </c>
      <c r="J546" s="18"/>
      <c r="K546" s="11"/>
      <c r="L546" s="11"/>
      <c r="M546" s="11"/>
      <c r="N546" s="11"/>
      <c r="O546" s="11"/>
      <c r="P546" s="11"/>
    </row>
    <row r="547" spans="7:16" x14ac:dyDescent="0.3">
      <c r="G547" t="s">
        <v>597</v>
      </c>
      <c r="I547" s="12" t="s">
        <v>2025</v>
      </c>
      <c r="J547" s="18"/>
      <c r="K547" s="11"/>
      <c r="L547" s="11"/>
      <c r="M547" s="11"/>
      <c r="N547" s="11"/>
      <c r="O547" s="11"/>
      <c r="P547" s="11"/>
    </row>
    <row r="548" spans="7:16" x14ac:dyDescent="0.3">
      <c r="G548" t="s">
        <v>598</v>
      </c>
      <c r="I548" s="12" t="s">
        <v>2026</v>
      </c>
      <c r="J548" s="18"/>
      <c r="K548" s="11"/>
      <c r="L548" s="11"/>
      <c r="M548" s="11"/>
      <c r="N548" s="11"/>
      <c r="O548" s="11"/>
      <c r="P548" s="11"/>
    </row>
    <row r="549" spans="7:16" x14ac:dyDescent="0.3">
      <c r="G549" t="s">
        <v>599</v>
      </c>
      <c r="I549" s="12" t="s">
        <v>2027</v>
      </c>
      <c r="J549" s="18"/>
      <c r="K549" s="11"/>
      <c r="L549" s="11"/>
      <c r="M549" s="11"/>
      <c r="N549" s="11"/>
      <c r="O549" s="11"/>
      <c r="P549" s="11"/>
    </row>
    <row r="550" spans="7:16" x14ac:dyDescent="0.3">
      <c r="G550" t="s">
        <v>600</v>
      </c>
      <c r="I550" s="12" t="s">
        <v>2028</v>
      </c>
      <c r="J550" s="18"/>
      <c r="K550" s="11"/>
      <c r="L550" s="11"/>
      <c r="M550" s="11"/>
      <c r="N550" s="11"/>
      <c r="O550" s="11"/>
      <c r="P550" s="11"/>
    </row>
    <row r="551" spans="7:16" x14ac:dyDescent="0.3">
      <c r="G551" t="s">
        <v>601</v>
      </c>
      <c r="I551" s="12" t="s">
        <v>2029</v>
      </c>
      <c r="J551" s="18"/>
      <c r="K551" s="11"/>
      <c r="L551" s="11"/>
      <c r="M551" s="11"/>
      <c r="N551" s="11"/>
      <c r="O551" s="11"/>
      <c r="P551" s="11"/>
    </row>
    <row r="552" spans="7:16" x14ac:dyDescent="0.3">
      <c r="G552" t="s">
        <v>602</v>
      </c>
      <c r="I552" s="12" t="s">
        <v>2030</v>
      </c>
      <c r="J552" s="18"/>
      <c r="K552" s="11"/>
      <c r="L552" s="11"/>
      <c r="M552" s="11"/>
      <c r="N552" s="11"/>
      <c r="O552" s="11"/>
      <c r="P552" s="11"/>
    </row>
    <row r="553" spans="7:16" x14ac:dyDescent="0.3">
      <c r="G553" t="s">
        <v>603</v>
      </c>
      <c r="I553" s="12" t="s">
        <v>2031</v>
      </c>
      <c r="J553" s="18"/>
      <c r="K553" s="11"/>
      <c r="L553" s="11"/>
      <c r="M553" s="11"/>
      <c r="N553" s="11"/>
      <c r="O553" s="11"/>
      <c r="P553" s="11"/>
    </row>
    <row r="554" spans="7:16" x14ac:dyDescent="0.3">
      <c r="G554" t="s">
        <v>604</v>
      </c>
      <c r="I554" s="12" t="s">
        <v>2032</v>
      </c>
      <c r="J554" s="18"/>
      <c r="K554" s="11"/>
      <c r="L554" s="11"/>
      <c r="M554" s="11"/>
      <c r="N554" s="11"/>
      <c r="O554" s="11"/>
      <c r="P554" s="11"/>
    </row>
    <row r="555" spans="7:16" x14ac:dyDescent="0.3">
      <c r="G555" t="s">
        <v>605</v>
      </c>
      <c r="I555" s="12" t="s">
        <v>2033</v>
      </c>
      <c r="J555" s="18"/>
      <c r="K555" s="11"/>
      <c r="L555" s="11"/>
      <c r="M555" s="11"/>
      <c r="N555" s="11"/>
      <c r="O555" s="11"/>
      <c r="P555" s="11"/>
    </row>
    <row r="556" spans="7:16" x14ac:dyDescent="0.3">
      <c r="G556" t="s">
        <v>606</v>
      </c>
      <c r="I556" s="12" t="s">
        <v>2034</v>
      </c>
      <c r="J556" s="18"/>
      <c r="K556" s="11"/>
      <c r="L556" s="11"/>
      <c r="M556" s="11"/>
      <c r="N556" s="11"/>
      <c r="O556" s="11"/>
      <c r="P556" s="11"/>
    </row>
    <row r="557" spans="7:16" x14ac:dyDescent="0.3">
      <c r="G557" t="s">
        <v>607</v>
      </c>
      <c r="I557" s="12" t="s">
        <v>2035</v>
      </c>
      <c r="J557" s="18"/>
      <c r="K557" s="11"/>
      <c r="L557" s="11"/>
      <c r="M557" s="11"/>
      <c r="N557" s="11"/>
      <c r="O557" s="11"/>
      <c r="P557" s="11"/>
    </row>
    <row r="558" spans="7:16" x14ac:dyDescent="0.3">
      <c r="G558" t="s">
        <v>608</v>
      </c>
      <c r="I558" s="12" t="s">
        <v>2036</v>
      </c>
      <c r="J558" s="18"/>
      <c r="K558" s="11"/>
      <c r="L558" s="11"/>
      <c r="M558" s="11"/>
      <c r="N558" s="11"/>
      <c r="O558" s="11"/>
      <c r="P558" s="11"/>
    </row>
    <row r="559" spans="7:16" x14ac:dyDescent="0.3">
      <c r="G559" t="s">
        <v>609</v>
      </c>
      <c r="I559" s="12" t="s">
        <v>2037</v>
      </c>
      <c r="J559" s="18"/>
      <c r="K559" s="11"/>
      <c r="L559" s="11"/>
      <c r="M559" s="11"/>
      <c r="N559" s="11"/>
      <c r="O559" s="11"/>
      <c r="P559" s="11"/>
    </row>
    <row r="560" spans="7:16" x14ac:dyDescent="0.3">
      <c r="G560" t="s">
        <v>610</v>
      </c>
      <c r="I560" s="12" t="s">
        <v>2038</v>
      </c>
      <c r="J560" s="18"/>
      <c r="K560" s="11"/>
      <c r="L560" s="11"/>
      <c r="M560" s="11"/>
      <c r="N560" s="11"/>
      <c r="O560" s="11"/>
      <c r="P560" s="11"/>
    </row>
    <row r="561" spans="7:16" x14ac:dyDescent="0.3">
      <c r="G561" t="s">
        <v>611</v>
      </c>
      <c r="I561" s="12" t="s">
        <v>2039</v>
      </c>
      <c r="J561" s="18"/>
      <c r="K561" s="11"/>
      <c r="L561" s="11"/>
      <c r="M561" s="11"/>
      <c r="N561" s="11"/>
      <c r="O561" s="11"/>
      <c r="P561" s="11"/>
    </row>
    <row r="562" spans="7:16" x14ac:dyDescent="0.3">
      <c r="G562" t="s">
        <v>612</v>
      </c>
      <c r="I562" s="12" t="s">
        <v>2040</v>
      </c>
      <c r="J562" s="18"/>
      <c r="K562" s="11"/>
      <c r="L562" s="11"/>
      <c r="M562" s="11"/>
      <c r="N562" s="11"/>
      <c r="O562" s="11"/>
      <c r="P562" s="11"/>
    </row>
    <row r="563" spans="7:16" x14ac:dyDescent="0.3">
      <c r="G563" t="s">
        <v>613</v>
      </c>
      <c r="I563" s="12" t="s">
        <v>2041</v>
      </c>
      <c r="J563" s="18"/>
      <c r="K563" s="11"/>
      <c r="L563" s="11"/>
      <c r="M563" s="11"/>
      <c r="N563" s="11"/>
      <c r="O563" s="11"/>
      <c r="P563" s="11"/>
    </row>
    <row r="564" spans="7:16" x14ac:dyDescent="0.3">
      <c r="G564" t="s">
        <v>614</v>
      </c>
      <c r="I564" s="12" t="s">
        <v>2042</v>
      </c>
      <c r="J564" s="18"/>
      <c r="K564" s="11"/>
      <c r="L564" s="11"/>
      <c r="M564" s="11"/>
      <c r="N564" s="11"/>
      <c r="O564" s="11"/>
      <c r="P564" s="11"/>
    </row>
    <row r="565" spans="7:16" x14ac:dyDescent="0.3">
      <c r="G565" t="s">
        <v>615</v>
      </c>
      <c r="I565" s="12" t="s">
        <v>2043</v>
      </c>
      <c r="J565" s="18"/>
      <c r="K565" s="11"/>
      <c r="L565" s="11"/>
      <c r="M565" s="11"/>
      <c r="N565" s="11"/>
      <c r="O565" s="11"/>
      <c r="P565" s="11"/>
    </row>
    <row r="566" spans="7:16" x14ac:dyDescent="0.3">
      <c r="G566" t="s">
        <v>616</v>
      </c>
      <c r="I566" s="12" t="s">
        <v>2044</v>
      </c>
      <c r="J566" s="18"/>
      <c r="K566" s="11"/>
      <c r="L566" s="11"/>
      <c r="M566" s="11"/>
      <c r="N566" s="11"/>
      <c r="O566" s="11"/>
      <c r="P566" s="11"/>
    </row>
    <row r="567" spans="7:16" x14ac:dyDescent="0.3">
      <c r="G567" t="s">
        <v>617</v>
      </c>
      <c r="I567" s="12" t="s">
        <v>2045</v>
      </c>
      <c r="J567" s="18"/>
      <c r="K567" s="11"/>
      <c r="L567" s="11"/>
      <c r="M567" s="11"/>
      <c r="N567" s="11"/>
      <c r="O567" s="11"/>
      <c r="P567" s="11"/>
    </row>
    <row r="568" spans="7:16" x14ac:dyDescent="0.3">
      <c r="G568" t="s">
        <v>618</v>
      </c>
      <c r="I568" s="12" t="s">
        <v>2046</v>
      </c>
      <c r="J568" s="18"/>
      <c r="K568" s="11"/>
      <c r="L568" s="11"/>
      <c r="M568" s="11"/>
      <c r="N568" s="11"/>
      <c r="O568" s="11"/>
      <c r="P568" s="11"/>
    </row>
    <row r="569" spans="7:16" x14ac:dyDescent="0.3">
      <c r="G569" t="s">
        <v>619</v>
      </c>
      <c r="I569" s="12" t="s">
        <v>2047</v>
      </c>
      <c r="J569" s="18"/>
      <c r="K569" s="11"/>
      <c r="L569" s="11"/>
      <c r="M569" s="11"/>
      <c r="N569" s="11"/>
      <c r="O569" s="11"/>
      <c r="P569" s="11"/>
    </row>
    <row r="570" spans="7:16" x14ac:dyDescent="0.3">
      <c r="G570" t="s">
        <v>620</v>
      </c>
      <c r="I570" s="12" t="s">
        <v>2048</v>
      </c>
      <c r="J570" s="18"/>
      <c r="K570" s="11"/>
      <c r="L570" s="11"/>
      <c r="M570" s="11"/>
      <c r="N570" s="11"/>
      <c r="O570" s="11"/>
      <c r="P570" s="11"/>
    </row>
    <row r="571" spans="7:16" x14ac:dyDescent="0.3">
      <c r="G571" t="s">
        <v>621</v>
      </c>
      <c r="I571" s="12" t="s">
        <v>2049</v>
      </c>
      <c r="J571" s="18"/>
      <c r="K571" s="11"/>
      <c r="L571" s="11"/>
      <c r="M571" s="11"/>
      <c r="N571" s="11"/>
      <c r="O571" s="11"/>
      <c r="P571" s="11"/>
    </row>
    <row r="572" spans="7:16" x14ac:dyDescent="0.3">
      <c r="G572" t="s">
        <v>622</v>
      </c>
      <c r="I572" s="12" t="s">
        <v>2050</v>
      </c>
      <c r="J572" s="18"/>
      <c r="K572" s="11"/>
      <c r="L572" s="11"/>
      <c r="M572" s="11"/>
      <c r="N572" s="11"/>
      <c r="O572" s="11"/>
      <c r="P572" s="11"/>
    </row>
    <row r="573" spans="7:16" x14ac:dyDescent="0.3">
      <c r="G573" t="s">
        <v>623</v>
      </c>
      <c r="I573" s="12" t="s">
        <v>2051</v>
      </c>
      <c r="J573" s="18"/>
      <c r="K573" s="11"/>
      <c r="L573" s="11"/>
      <c r="M573" s="11"/>
      <c r="N573" s="11"/>
      <c r="O573" s="11"/>
      <c r="P573" s="11"/>
    </row>
    <row r="574" spans="7:16" x14ac:dyDescent="0.3">
      <c r="G574" t="s">
        <v>624</v>
      </c>
      <c r="I574" s="12" t="s">
        <v>2052</v>
      </c>
      <c r="J574" s="18"/>
      <c r="K574" s="11"/>
      <c r="L574" s="11"/>
      <c r="M574" s="11"/>
      <c r="N574" s="11"/>
      <c r="O574" s="11"/>
      <c r="P574" s="11"/>
    </row>
    <row r="575" spans="7:16" x14ac:dyDescent="0.3">
      <c r="G575" t="s">
        <v>625</v>
      </c>
      <c r="I575" s="12" t="s">
        <v>2053</v>
      </c>
      <c r="J575" s="18"/>
      <c r="K575" s="11"/>
      <c r="L575" s="11"/>
      <c r="M575" s="11"/>
      <c r="N575" s="11"/>
      <c r="O575" s="11"/>
      <c r="P575" s="11"/>
    </row>
    <row r="576" spans="7:16" x14ac:dyDescent="0.3">
      <c r="G576" t="s">
        <v>626</v>
      </c>
      <c r="I576" s="12" t="s">
        <v>2054</v>
      </c>
      <c r="J576" s="18"/>
      <c r="K576" s="11"/>
      <c r="L576" s="11"/>
      <c r="M576" s="11"/>
      <c r="N576" s="11"/>
      <c r="O576" s="11"/>
      <c r="P576" s="11"/>
    </row>
    <row r="577" spans="7:16" x14ac:dyDescent="0.3">
      <c r="G577" t="s">
        <v>627</v>
      </c>
      <c r="I577" s="12" t="s">
        <v>2055</v>
      </c>
      <c r="J577" s="18"/>
      <c r="K577" s="11"/>
      <c r="L577" s="11"/>
      <c r="M577" s="11"/>
      <c r="N577" s="11"/>
      <c r="O577" s="11"/>
      <c r="P577" s="11"/>
    </row>
    <row r="578" spans="7:16" x14ac:dyDescent="0.3">
      <c r="G578" t="s">
        <v>628</v>
      </c>
      <c r="I578" s="12" t="s">
        <v>2056</v>
      </c>
      <c r="J578" s="18"/>
      <c r="K578" s="11"/>
      <c r="L578" s="11"/>
      <c r="M578" s="11"/>
      <c r="N578" s="11"/>
      <c r="O578" s="11"/>
      <c r="P578" s="11"/>
    </row>
    <row r="579" spans="7:16" x14ac:dyDescent="0.3">
      <c r="G579" t="s">
        <v>629</v>
      </c>
      <c r="I579" s="12" t="s">
        <v>2057</v>
      </c>
      <c r="J579" s="18"/>
      <c r="K579" s="11"/>
      <c r="L579" s="11"/>
      <c r="M579" s="11"/>
      <c r="N579" s="11"/>
      <c r="O579" s="11"/>
      <c r="P579" s="11"/>
    </row>
    <row r="580" spans="7:16" x14ac:dyDescent="0.3">
      <c r="G580" t="s">
        <v>630</v>
      </c>
      <c r="I580" s="12" t="s">
        <v>2058</v>
      </c>
      <c r="J580" s="18"/>
      <c r="K580" s="11"/>
      <c r="L580" s="11"/>
      <c r="M580" s="11"/>
      <c r="N580" s="11"/>
      <c r="O580" s="11"/>
      <c r="P580" s="11"/>
    </row>
    <row r="581" spans="7:16" x14ac:dyDescent="0.3">
      <c r="G581" t="s">
        <v>631</v>
      </c>
      <c r="I581" s="12" t="s">
        <v>2059</v>
      </c>
      <c r="J581" s="18"/>
      <c r="K581" s="11"/>
      <c r="L581" s="11"/>
      <c r="M581" s="11"/>
      <c r="N581" s="11"/>
      <c r="O581" s="11"/>
      <c r="P581" s="11"/>
    </row>
    <row r="582" spans="7:16" x14ac:dyDescent="0.3">
      <c r="G582" t="s">
        <v>632</v>
      </c>
      <c r="I582" s="12" t="s">
        <v>2060</v>
      </c>
      <c r="J582" s="18"/>
      <c r="K582" s="11"/>
      <c r="L582" s="11"/>
      <c r="M582" s="11"/>
      <c r="N582" s="11"/>
      <c r="O582" s="11"/>
      <c r="P582" s="11"/>
    </row>
    <row r="583" spans="7:16" x14ac:dyDescent="0.3">
      <c r="G583" t="s">
        <v>633</v>
      </c>
      <c r="I583" s="12" t="s">
        <v>2061</v>
      </c>
      <c r="J583" s="18"/>
      <c r="K583" s="11"/>
      <c r="L583" s="11"/>
      <c r="M583" s="11"/>
      <c r="N583" s="11"/>
      <c r="O583" s="11"/>
      <c r="P583" s="11"/>
    </row>
    <row r="584" spans="7:16" x14ac:dyDescent="0.3">
      <c r="G584" t="s">
        <v>634</v>
      </c>
      <c r="I584" s="12" t="s">
        <v>2062</v>
      </c>
      <c r="J584" s="18"/>
      <c r="K584" s="11"/>
      <c r="L584" s="11"/>
      <c r="M584" s="11"/>
      <c r="N584" s="11"/>
      <c r="O584" s="11"/>
      <c r="P584" s="11"/>
    </row>
    <row r="585" spans="7:16" x14ac:dyDescent="0.3">
      <c r="G585" t="s">
        <v>635</v>
      </c>
      <c r="I585" s="12" t="s">
        <v>2063</v>
      </c>
      <c r="J585" s="18"/>
      <c r="K585" s="11"/>
      <c r="L585" s="11"/>
      <c r="M585" s="11"/>
      <c r="N585" s="11"/>
      <c r="O585" s="11"/>
      <c r="P585" s="11"/>
    </row>
    <row r="586" spans="7:16" x14ac:dyDescent="0.3">
      <c r="G586" t="s">
        <v>636</v>
      </c>
      <c r="I586" s="12" t="s">
        <v>2064</v>
      </c>
      <c r="J586" s="18"/>
      <c r="K586" s="11"/>
      <c r="L586" s="11"/>
      <c r="M586" s="11"/>
      <c r="N586" s="11"/>
      <c r="O586" s="11"/>
      <c r="P586" s="11"/>
    </row>
    <row r="587" spans="7:16" x14ac:dyDescent="0.3">
      <c r="G587" t="s">
        <v>637</v>
      </c>
      <c r="I587" s="12" t="s">
        <v>2065</v>
      </c>
      <c r="J587" s="18"/>
      <c r="K587" s="11"/>
      <c r="L587" s="11"/>
      <c r="M587" s="11"/>
      <c r="N587" s="11"/>
      <c r="O587" s="11"/>
      <c r="P587" s="11"/>
    </row>
    <row r="588" spans="7:16" x14ac:dyDescent="0.3">
      <c r="G588" t="s">
        <v>638</v>
      </c>
      <c r="I588" s="12" t="s">
        <v>2066</v>
      </c>
      <c r="J588" s="18"/>
      <c r="K588" s="11"/>
      <c r="L588" s="11"/>
      <c r="M588" s="11"/>
      <c r="N588" s="11"/>
      <c r="O588" s="11"/>
      <c r="P588" s="11"/>
    </row>
    <row r="589" spans="7:16" x14ac:dyDescent="0.3">
      <c r="G589" t="s">
        <v>639</v>
      </c>
      <c r="I589" s="12" t="s">
        <v>2067</v>
      </c>
      <c r="J589" s="18"/>
      <c r="K589" s="11"/>
      <c r="L589" s="11"/>
      <c r="M589" s="11"/>
      <c r="N589" s="11"/>
      <c r="O589" s="11"/>
      <c r="P589" s="11"/>
    </row>
    <row r="590" spans="7:16" x14ac:dyDescent="0.3">
      <c r="G590" t="s">
        <v>640</v>
      </c>
      <c r="I590" s="12" t="s">
        <v>2068</v>
      </c>
      <c r="J590" s="18"/>
      <c r="K590" s="11"/>
      <c r="L590" s="11"/>
      <c r="M590" s="11"/>
      <c r="N590" s="11"/>
      <c r="O590" s="11"/>
      <c r="P590" s="11"/>
    </row>
    <row r="591" spans="7:16" x14ac:dyDescent="0.3">
      <c r="G591" t="s">
        <v>641</v>
      </c>
      <c r="I591" s="12" t="s">
        <v>2069</v>
      </c>
      <c r="J591" s="18"/>
      <c r="K591" s="11"/>
      <c r="L591" s="11"/>
      <c r="M591" s="11"/>
      <c r="N591" s="11"/>
      <c r="O591" s="11"/>
      <c r="P591" s="11"/>
    </row>
    <row r="592" spans="7:16" x14ac:dyDescent="0.3">
      <c r="G592" t="s">
        <v>642</v>
      </c>
      <c r="I592" s="12" t="s">
        <v>2070</v>
      </c>
      <c r="J592" s="18"/>
      <c r="K592" s="11"/>
      <c r="L592" s="11"/>
      <c r="M592" s="11"/>
      <c r="N592" s="11"/>
      <c r="O592" s="11"/>
      <c r="P592" s="11"/>
    </row>
    <row r="593" spans="7:16" x14ac:dyDescent="0.3">
      <c r="G593" t="s">
        <v>643</v>
      </c>
      <c r="I593" s="12" t="s">
        <v>2071</v>
      </c>
      <c r="J593" s="18"/>
      <c r="K593" s="11"/>
      <c r="L593" s="11"/>
      <c r="M593" s="11"/>
      <c r="N593" s="11"/>
      <c r="O593" s="11"/>
      <c r="P593" s="11"/>
    </row>
    <row r="594" spans="7:16" x14ac:dyDescent="0.3">
      <c r="G594" t="s">
        <v>644</v>
      </c>
      <c r="I594" s="12" t="s">
        <v>2072</v>
      </c>
      <c r="J594" s="18"/>
      <c r="K594" s="11"/>
      <c r="L594" s="11"/>
      <c r="M594" s="11"/>
      <c r="N594" s="11"/>
      <c r="O594" s="11"/>
      <c r="P594" s="11"/>
    </row>
    <row r="595" spans="7:16" x14ac:dyDescent="0.3">
      <c r="G595" t="s">
        <v>645</v>
      </c>
      <c r="I595" s="12" t="s">
        <v>2073</v>
      </c>
      <c r="J595" s="18"/>
      <c r="K595" s="11"/>
      <c r="L595" s="11"/>
      <c r="M595" s="11"/>
      <c r="N595" s="11"/>
      <c r="O595" s="11"/>
      <c r="P595" s="11"/>
    </row>
    <row r="596" spans="7:16" x14ac:dyDescent="0.3">
      <c r="G596" t="s">
        <v>646</v>
      </c>
      <c r="I596" s="12" t="s">
        <v>2074</v>
      </c>
      <c r="J596" s="18"/>
      <c r="K596" s="11"/>
      <c r="L596" s="11"/>
      <c r="M596" s="11"/>
      <c r="N596" s="11"/>
      <c r="O596" s="11"/>
      <c r="P596" s="11"/>
    </row>
    <row r="597" spans="7:16" x14ac:dyDescent="0.3">
      <c r="G597" t="s">
        <v>647</v>
      </c>
      <c r="I597" s="12" t="s">
        <v>2075</v>
      </c>
      <c r="J597" s="18"/>
      <c r="K597" s="11"/>
      <c r="L597" s="11"/>
      <c r="M597" s="11"/>
      <c r="N597" s="11"/>
      <c r="O597" s="11"/>
      <c r="P597" s="11"/>
    </row>
    <row r="598" spans="7:16" x14ac:dyDescent="0.3">
      <c r="G598" t="s">
        <v>648</v>
      </c>
      <c r="I598" s="12" t="s">
        <v>2076</v>
      </c>
      <c r="J598" s="18"/>
      <c r="K598" s="11"/>
      <c r="L598" s="11"/>
      <c r="M598" s="11"/>
      <c r="N598" s="11"/>
      <c r="O598" s="11"/>
      <c r="P598" s="11"/>
    </row>
    <row r="599" spans="7:16" x14ac:dyDescent="0.3">
      <c r="G599" t="s">
        <v>649</v>
      </c>
      <c r="I599" s="12" t="s">
        <v>2077</v>
      </c>
      <c r="J599" s="18"/>
      <c r="K599" s="11"/>
      <c r="L599" s="11"/>
      <c r="M599" s="11"/>
      <c r="N599" s="11"/>
      <c r="O599" s="11"/>
      <c r="P599" s="11"/>
    </row>
    <row r="600" spans="7:16" x14ac:dyDescent="0.3">
      <c r="G600" t="s">
        <v>650</v>
      </c>
      <c r="I600" s="12" t="s">
        <v>2078</v>
      </c>
      <c r="J600" s="18"/>
      <c r="K600" s="11"/>
      <c r="L600" s="11"/>
      <c r="M600" s="11"/>
      <c r="N600" s="11"/>
      <c r="O600" s="11"/>
      <c r="P600" s="11"/>
    </row>
    <row r="601" spans="7:16" x14ac:dyDescent="0.3">
      <c r="G601" t="s">
        <v>651</v>
      </c>
      <c r="I601" s="12" t="s">
        <v>2079</v>
      </c>
      <c r="J601" s="18"/>
      <c r="K601" s="11"/>
      <c r="L601" s="11"/>
      <c r="M601" s="11"/>
      <c r="N601" s="11"/>
      <c r="O601" s="11"/>
      <c r="P601" s="11"/>
    </row>
    <row r="602" spans="7:16" x14ac:dyDescent="0.3">
      <c r="G602" t="s">
        <v>652</v>
      </c>
      <c r="I602" s="12" t="s">
        <v>2080</v>
      </c>
      <c r="J602" s="18"/>
      <c r="K602" s="11"/>
      <c r="L602" s="11"/>
      <c r="M602" s="11"/>
      <c r="N602" s="11"/>
      <c r="O602" s="11"/>
      <c r="P602" s="11"/>
    </row>
    <row r="603" spans="7:16" x14ac:dyDescent="0.3">
      <c r="G603" t="s">
        <v>653</v>
      </c>
      <c r="I603" s="12" t="s">
        <v>2081</v>
      </c>
      <c r="J603" s="18"/>
      <c r="K603" s="11"/>
      <c r="L603" s="11"/>
      <c r="M603" s="11"/>
      <c r="N603" s="11"/>
      <c r="O603" s="11"/>
      <c r="P603" s="11"/>
    </row>
    <row r="604" spans="7:16" x14ac:dyDescent="0.3">
      <c r="G604" t="s">
        <v>654</v>
      </c>
      <c r="I604" s="12" t="s">
        <v>2082</v>
      </c>
      <c r="J604" s="18"/>
      <c r="K604" s="11"/>
      <c r="L604" s="11"/>
      <c r="M604" s="11"/>
      <c r="N604" s="11"/>
      <c r="O604" s="11"/>
      <c r="P604" s="11"/>
    </row>
    <row r="605" spans="7:16" x14ac:dyDescent="0.3">
      <c r="G605" t="s">
        <v>655</v>
      </c>
      <c r="I605" s="12" t="s">
        <v>2083</v>
      </c>
      <c r="J605" s="18"/>
      <c r="K605" s="11"/>
      <c r="L605" s="11"/>
      <c r="M605" s="11"/>
      <c r="N605" s="11"/>
      <c r="O605" s="11"/>
      <c r="P605" s="11"/>
    </row>
    <row r="606" spans="7:16" x14ac:dyDescent="0.3">
      <c r="G606" t="s">
        <v>656</v>
      </c>
      <c r="I606" s="12" t="s">
        <v>2084</v>
      </c>
      <c r="J606" s="18"/>
      <c r="K606" s="11"/>
      <c r="L606" s="11"/>
      <c r="M606" s="11"/>
      <c r="N606" s="11"/>
      <c r="O606" s="11"/>
      <c r="P606" s="11"/>
    </row>
    <row r="607" spans="7:16" x14ac:dyDescent="0.3">
      <c r="G607" t="s">
        <v>657</v>
      </c>
      <c r="I607" s="12" t="s">
        <v>2085</v>
      </c>
      <c r="J607" s="18"/>
      <c r="K607" s="11"/>
      <c r="L607" s="11"/>
      <c r="M607" s="11"/>
      <c r="N607" s="11"/>
      <c r="O607" s="11"/>
      <c r="P607" s="11"/>
    </row>
    <row r="608" spans="7:16" x14ac:dyDescent="0.3">
      <c r="G608" t="s">
        <v>658</v>
      </c>
      <c r="I608" s="12" t="s">
        <v>2086</v>
      </c>
      <c r="J608" s="18"/>
      <c r="K608" s="11"/>
      <c r="L608" s="11"/>
      <c r="M608" s="11"/>
      <c r="N608" s="11"/>
      <c r="O608" s="11"/>
      <c r="P608" s="11"/>
    </row>
    <row r="609" spans="7:16" x14ac:dyDescent="0.3">
      <c r="G609" t="s">
        <v>659</v>
      </c>
      <c r="I609" s="12" t="s">
        <v>2087</v>
      </c>
      <c r="J609" s="18"/>
      <c r="K609" s="11"/>
      <c r="L609" s="11"/>
      <c r="M609" s="11"/>
      <c r="N609" s="11"/>
      <c r="O609" s="11"/>
      <c r="P609" s="11"/>
    </row>
    <row r="610" spans="7:16" x14ac:dyDescent="0.3">
      <c r="G610" t="s">
        <v>660</v>
      </c>
      <c r="I610" s="12" t="s">
        <v>2088</v>
      </c>
      <c r="J610" s="18"/>
      <c r="K610" s="11"/>
      <c r="L610" s="11"/>
      <c r="M610" s="11"/>
      <c r="N610" s="11"/>
      <c r="O610" s="11"/>
      <c r="P610" s="11"/>
    </row>
    <row r="611" spans="7:16" x14ac:dyDescent="0.3">
      <c r="G611" t="s">
        <v>661</v>
      </c>
      <c r="I611" s="12" t="s">
        <v>2089</v>
      </c>
      <c r="J611" s="18"/>
      <c r="K611" s="11"/>
      <c r="L611" s="11"/>
      <c r="M611" s="11"/>
      <c r="N611" s="11"/>
      <c r="O611" s="11"/>
      <c r="P611" s="11"/>
    </row>
    <row r="612" spans="7:16" x14ac:dyDescent="0.3">
      <c r="G612" t="s">
        <v>662</v>
      </c>
      <c r="I612" s="12" t="s">
        <v>2090</v>
      </c>
      <c r="J612" s="18"/>
      <c r="K612" s="11"/>
      <c r="L612" s="11"/>
      <c r="M612" s="11"/>
      <c r="N612" s="11"/>
      <c r="O612" s="11"/>
      <c r="P612" s="11"/>
    </row>
    <row r="613" spans="7:16" x14ac:dyDescent="0.3">
      <c r="G613" t="s">
        <v>663</v>
      </c>
      <c r="I613" s="12" t="s">
        <v>2091</v>
      </c>
      <c r="J613" s="18"/>
      <c r="K613" s="11"/>
      <c r="L613" s="11"/>
      <c r="M613" s="11"/>
      <c r="N613" s="11"/>
      <c r="O613" s="11"/>
      <c r="P613" s="11"/>
    </row>
    <row r="614" spans="7:16" x14ac:dyDescent="0.3">
      <c r="G614" t="s">
        <v>664</v>
      </c>
      <c r="I614" s="12" t="s">
        <v>2092</v>
      </c>
      <c r="J614" s="18"/>
      <c r="K614" s="11"/>
      <c r="L614" s="11"/>
      <c r="M614" s="11"/>
      <c r="N614" s="11"/>
      <c r="O614" s="11"/>
      <c r="P614" s="11"/>
    </row>
    <row r="615" spans="7:16" x14ac:dyDescent="0.3">
      <c r="G615" t="s">
        <v>665</v>
      </c>
      <c r="I615" s="12" t="s">
        <v>2093</v>
      </c>
      <c r="J615" s="18"/>
      <c r="K615" s="11"/>
      <c r="L615" s="11"/>
      <c r="M615" s="11"/>
      <c r="N615" s="11"/>
      <c r="O615" s="11"/>
      <c r="P615" s="11"/>
    </row>
    <row r="616" spans="7:16" x14ac:dyDescent="0.3">
      <c r="G616" t="s">
        <v>666</v>
      </c>
      <c r="I616" s="12" t="s">
        <v>2094</v>
      </c>
      <c r="J616" s="18"/>
      <c r="K616" s="11"/>
      <c r="L616" s="11"/>
      <c r="M616" s="11"/>
      <c r="N616" s="11"/>
      <c r="O616" s="11"/>
      <c r="P616" s="11"/>
    </row>
    <row r="617" spans="7:16" x14ac:dyDescent="0.3">
      <c r="G617" t="s">
        <v>667</v>
      </c>
      <c r="I617" s="12" t="s">
        <v>2095</v>
      </c>
      <c r="J617" s="18"/>
      <c r="K617" s="11"/>
      <c r="L617" s="11"/>
      <c r="M617" s="11"/>
      <c r="N617" s="11"/>
      <c r="O617" s="11"/>
      <c r="P617" s="11"/>
    </row>
    <row r="618" spans="7:16" x14ac:dyDescent="0.3">
      <c r="G618" t="s">
        <v>668</v>
      </c>
      <c r="I618" s="12" t="s">
        <v>2096</v>
      </c>
      <c r="J618" s="18"/>
      <c r="K618" s="11"/>
      <c r="L618" s="11"/>
      <c r="M618" s="11"/>
      <c r="N618" s="11"/>
      <c r="O618" s="11"/>
      <c r="P618" s="11"/>
    </row>
    <row r="619" spans="7:16" x14ac:dyDescent="0.3">
      <c r="G619" t="s">
        <v>669</v>
      </c>
      <c r="I619" s="12" t="s">
        <v>2097</v>
      </c>
      <c r="J619" s="18"/>
      <c r="K619" s="11"/>
      <c r="L619" s="11"/>
      <c r="M619" s="11"/>
      <c r="N619" s="11"/>
      <c r="O619" s="11"/>
      <c r="P619" s="11"/>
    </row>
    <row r="620" spans="7:16" x14ac:dyDescent="0.3">
      <c r="G620" t="s">
        <v>670</v>
      </c>
      <c r="I620" s="12" t="s">
        <v>2098</v>
      </c>
      <c r="J620" s="18"/>
      <c r="K620" s="11"/>
      <c r="L620" s="11"/>
      <c r="M620" s="11"/>
      <c r="N620" s="11"/>
      <c r="O620" s="11"/>
      <c r="P620" s="11"/>
    </row>
    <row r="621" spans="7:16" x14ac:dyDescent="0.3">
      <c r="G621" t="s">
        <v>671</v>
      </c>
      <c r="I621" s="12" t="s">
        <v>2099</v>
      </c>
      <c r="J621" s="18"/>
      <c r="K621" s="11"/>
      <c r="L621" s="11"/>
      <c r="M621" s="11"/>
      <c r="N621" s="11"/>
      <c r="O621" s="11"/>
      <c r="P621" s="11"/>
    </row>
    <row r="622" spans="7:16" x14ac:dyDescent="0.3">
      <c r="G622" t="s">
        <v>672</v>
      </c>
      <c r="I622" s="12" t="s">
        <v>2100</v>
      </c>
      <c r="J622" s="18"/>
      <c r="K622" s="11"/>
      <c r="L622" s="11"/>
      <c r="M622" s="11"/>
      <c r="N622" s="11"/>
      <c r="O622" s="11"/>
      <c r="P622" s="11"/>
    </row>
    <row r="623" spans="7:16" x14ac:dyDescent="0.3">
      <c r="G623" t="s">
        <v>1</v>
      </c>
      <c r="I623" s="12" t="s">
        <v>2101</v>
      </c>
      <c r="J623" s="18"/>
      <c r="K623" s="11"/>
      <c r="L623" s="11"/>
      <c r="M623" s="11"/>
      <c r="N623" s="11"/>
      <c r="O623" s="11"/>
      <c r="P623" s="11"/>
    </row>
    <row r="624" spans="7:16" x14ac:dyDescent="0.3">
      <c r="G624" t="s">
        <v>1</v>
      </c>
      <c r="I624" s="12" t="s">
        <v>2102</v>
      </c>
      <c r="J624" s="18"/>
      <c r="K624" s="11"/>
      <c r="L624" s="11"/>
      <c r="M624" s="11"/>
      <c r="N624" s="11"/>
      <c r="O624" s="11"/>
      <c r="P624" s="11"/>
    </row>
    <row r="625" spans="7:16" x14ac:dyDescent="0.3">
      <c r="G625" t="s">
        <v>673</v>
      </c>
      <c r="I625" s="12" t="s">
        <v>2103</v>
      </c>
      <c r="J625" s="18"/>
      <c r="K625" s="11"/>
      <c r="L625" s="11"/>
      <c r="M625" s="11"/>
      <c r="N625" s="11"/>
      <c r="O625" s="11"/>
      <c r="P625" s="11"/>
    </row>
    <row r="626" spans="7:16" x14ac:dyDescent="0.3">
      <c r="G626" t="s">
        <v>674</v>
      </c>
      <c r="I626" s="12" t="s">
        <v>2104</v>
      </c>
      <c r="J626" s="18"/>
      <c r="K626" s="11"/>
      <c r="L626" s="11"/>
      <c r="M626" s="11"/>
      <c r="N626" s="11"/>
      <c r="O626" s="11"/>
      <c r="P626" s="11"/>
    </row>
    <row r="627" spans="7:16" x14ac:dyDescent="0.3">
      <c r="G627" t="s">
        <v>675</v>
      </c>
      <c r="I627" s="12" t="s">
        <v>2105</v>
      </c>
      <c r="J627" s="18"/>
      <c r="K627" s="11"/>
      <c r="L627" s="11"/>
      <c r="M627" s="11"/>
      <c r="N627" s="11"/>
      <c r="O627" s="11"/>
      <c r="P627" s="11"/>
    </row>
    <row r="628" spans="7:16" x14ac:dyDescent="0.3">
      <c r="G628" t="s">
        <v>676</v>
      </c>
      <c r="I628" s="12" t="s">
        <v>2106</v>
      </c>
      <c r="J628" s="18"/>
      <c r="K628" s="11"/>
      <c r="L628" s="11"/>
      <c r="M628" s="11"/>
      <c r="N628" s="11"/>
      <c r="O628" s="11"/>
      <c r="P628" s="11"/>
    </row>
    <row r="629" spans="7:16" x14ac:dyDescent="0.3">
      <c r="G629" t="s">
        <v>677</v>
      </c>
      <c r="I629" s="12" t="s">
        <v>2107</v>
      </c>
      <c r="J629" s="18"/>
      <c r="K629" s="11"/>
      <c r="L629" s="11"/>
      <c r="M629" s="11"/>
      <c r="N629" s="11"/>
      <c r="O629" s="11"/>
      <c r="P629" s="11"/>
    </row>
    <row r="630" spans="7:16" x14ac:dyDescent="0.3">
      <c r="G630" t="s">
        <v>678</v>
      </c>
      <c r="I630" s="12" t="s">
        <v>2108</v>
      </c>
      <c r="J630" s="18"/>
      <c r="K630" s="11"/>
      <c r="L630" s="11"/>
      <c r="M630" s="11"/>
      <c r="N630" s="11"/>
      <c r="O630" s="11"/>
      <c r="P630" s="11"/>
    </row>
    <row r="631" spans="7:16" x14ac:dyDescent="0.3">
      <c r="G631" t="s">
        <v>679</v>
      </c>
      <c r="I631" s="12" t="s">
        <v>2109</v>
      </c>
      <c r="J631" s="18"/>
      <c r="K631" s="11"/>
      <c r="L631" s="11"/>
      <c r="M631" s="11"/>
      <c r="N631" s="11"/>
      <c r="O631" s="11"/>
      <c r="P631" s="11"/>
    </row>
    <row r="632" spans="7:16" x14ac:dyDescent="0.3">
      <c r="G632" t="s">
        <v>680</v>
      </c>
      <c r="I632" s="12" t="s">
        <v>2110</v>
      </c>
      <c r="J632" s="18"/>
      <c r="K632" s="11"/>
      <c r="L632" s="11"/>
      <c r="M632" s="11"/>
      <c r="N632" s="11"/>
      <c r="O632" s="11"/>
      <c r="P632" s="11"/>
    </row>
    <row r="633" spans="7:16" x14ac:dyDescent="0.3">
      <c r="G633" t="s">
        <v>681</v>
      </c>
      <c r="I633" s="12" t="s">
        <v>2111</v>
      </c>
      <c r="J633" s="18"/>
      <c r="K633" s="11"/>
      <c r="L633" s="11"/>
      <c r="M633" s="11"/>
      <c r="N633" s="11"/>
      <c r="O633" s="11"/>
      <c r="P633" s="11"/>
    </row>
    <row r="634" spans="7:16" x14ac:dyDescent="0.3">
      <c r="G634" t="s">
        <v>682</v>
      </c>
      <c r="I634" s="12" t="s">
        <v>2112</v>
      </c>
      <c r="J634" s="18"/>
      <c r="K634" s="11"/>
      <c r="L634" s="11"/>
      <c r="M634" s="11"/>
      <c r="N634" s="11"/>
      <c r="O634" s="11"/>
      <c r="P634" s="11"/>
    </row>
    <row r="635" spans="7:16" x14ac:dyDescent="0.3">
      <c r="G635" t="s">
        <v>682</v>
      </c>
      <c r="I635" s="12" t="s">
        <v>2113</v>
      </c>
      <c r="J635" s="18"/>
      <c r="K635" s="11"/>
      <c r="L635" s="11"/>
      <c r="M635" s="11"/>
      <c r="N635" s="11"/>
      <c r="O635" s="11"/>
      <c r="P635" s="11"/>
    </row>
    <row r="636" spans="7:16" x14ac:dyDescent="0.3">
      <c r="G636" t="s">
        <v>683</v>
      </c>
      <c r="I636" s="12" t="s">
        <v>2114</v>
      </c>
      <c r="J636" s="18"/>
      <c r="K636" s="11"/>
      <c r="L636" s="11"/>
      <c r="M636" s="11"/>
      <c r="N636" s="11"/>
      <c r="O636" s="11"/>
      <c r="P636" s="11"/>
    </row>
    <row r="637" spans="7:16" x14ac:dyDescent="0.3">
      <c r="G637" t="s">
        <v>684</v>
      </c>
      <c r="I637" s="12" t="s">
        <v>2115</v>
      </c>
      <c r="J637" s="18"/>
      <c r="K637" s="11"/>
      <c r="L637" s="11"/>
      <c r="M637" s="11"/>
      <c r="N637" s="11"/>
      <c r="O637" s="11"/>
      <c r="P637" s="11"/>
    </row>
    <row r="638" spans="7:16" x14ac:dyDescent="0.3">
      <c r="G638" t="s">
        <v>685</v>
      </c>
      <c r="I638" s="12" t="s">
        <v>2116</v>
      </c>
      <c r="J638" s="18"/>
      <c r="K638" s="11"/>
      <c r="L638" s="11"/>
      <c r="M638" s="11"/>
      <c r="N638" s="11"/>
      <c r="O638" s="11"/>
      <c r="P638" s="11"/>
    </row>
    <row r="639" spans="7:16" x14ac:dyDescent="0.3">
      <c r="G639" t="s">
        <v>686</v>
      </c>
      <c r="I639" s="12" t="s">
        <v>2117</v>
      </c>
      <c r="J639" s="18"/>
      <c r="K639" s="11"/>
      <c r="L639" s="11"/>
      <c r="M639" s="11"/>
      <c r="N639" s="11"/>
      <c r="O639" s="11"/>
      <c r="P639" s="11"/>
    </row>
    <row r="640" spans="7:16" x14ac:dyDescent="0.3">
      <c r="G640" t="s">
        <v>687</v>
      </c>
      <c r="I640" s="12" t="s">
        <v>2118</v>
      </c>
      <c r="J640" s="18"/>
      <c r="K640" s="11"/>
      <c r="L640" s="11"/>
      <c r="M640" s="11"/>
      <c r="N640" s="11"/>
      <c r="O640" s="11"/>
      <c r="P640" s="11"/>
    </row>
    <row r="641" spans="7:16" x14ac:dyDescent="0.3">
      <c r="G641" t="s">
        <v>688</v>
      </c>
      <c r="I641" s="12" t="s">
        <v>2119</v>
      </c>
      <c r="J641" s="18"/>
      <c r="K641" s="11"/>
      <c r="L641" s="11"/>
      <c r="M641" s="11"/>
      <c r="N641" s="11"/>
      <c r="O641" s="11"/>
      <c r="P641" s="11"/>
    </row>
    <row r="642" spans="7:16" x14ac:dyDescent="0.3">
      <c r="G642" t="s">
        <v>689</v>
      </c>
      <c r="I642" s="12" t="s">
        <v>2120</v>
      </c>
      <c r="J642" s="18"/>
      <c r="K642" s="11"/>
      <c r="L642" s="11"/>
      <c r="M642" s="11"/>
      <c r="N642" s="11"/>
      <c r="O642" s="11"/>
      <c r="P642" s="11"/>
    </row>
    <row r="643" spans="7:16" x14ac:dyDescent="0.3">
      <c r="G643" t="s">
        <v>7</v>
      </c>
      <c r="I643" s="12" t="s">
        <v>2121</v>
      </c>
      <c r="J643" s="18"/>
      <c r="K643" s="11"/>
      <c r="L643" s="11"/>
      <c r="M643" s="11"/>
      <c r="N643" s="11"/>
      <c r="O643" s="11"/>
      <c r="P643" s="11"/>
    </row>
    <row r="644" spans="7:16" x14ac:dyDescent="0.3">
      <c r="G644" t="s">
        <v>690</v>
      </c>
      <c r="I644" s="12" t="s">
        <v>2122</v>
      </c>
      <c r="J644" s="18"/>
      <c r="K644" s="11"/>
      <c r="L644" s="11"/>
      <c r="M644" s="11"/>
      <c r="N644" s="11"/>
      <c r="O644" s="11"/>
      <c r="P644" s="11"/>
    </row>
    <row r="645" spans="7:16" x14ac:dyDescent="0.3">
      <c r="G645" t="s">
        <v>691</v>
      </c>
      <c r="I645" s="12" t="s">
        <v>2123</v>
      </c>
      <c r="J645" s="18"/>
      <c r="K645" s="11"/>
      <c r="L645" s="11"/>
      <c r="M645" s="11"/>
      <c r="N645" s="11"/>
      <c r="O645" s="11"/>
      <c r="P645" s="11"/>
    </row>
    <row r="646" spans="7:16" x14ac:dyDescent="0.3">
      <c r="G646" t="s">
        <v>692</v>
      </c>
      <c r="I646" s="12" t="s">
        <v>2124</v>
      </c>
      <c r="J646" s="18"/>
      <c r="K646" s="11"/>
      <c r="L646" s="11"/>
      <c r="M646" s="11"/>
      <c r="N646" s="11"/>
      <c r="O646" s="11"/>
      <c r="P646" s="11"/>
    </row>
    <row r="647" spans="7:16" x14ac:dyDescent="0.3">
      <c r="G647" t="s">
        <v>693</v>
      </c>
      <c r="I647" s="12" t="s">
        <v>2125</v>
      </c>
      <c r="J647" s="18"/>
      <c r="K647" s="11"/>
      <c r="L647" s="11"/>
      <c r="M647" s="11"/>
      <c r="N647" s="11"/>
      <c r="O647" s="11"/>
      <c r="P647" s="11"/>
    </row>
    <row r="648" spans="7:16" x14ac:dyDescent="0.3">
      <c r="G648" t="s">
        <v>694</v>
      </c>
      <c r="I648" s="12" t="s">
        <v>2126</v>
      </c>
      <c r="J648" s="18"/>
      <c r="K648" s="11"/>
      <c r="L648" s="11"/>
      <c r="M648" s="11"/>
      <c r="N648" s="11"/>
      <c r="O648" s="11"/>
      <c r="P648" s="11"/>
    </row>
    <row r="649" spans="7:16" x14ac:dyDescent="0.3">
      <c r="G649" t="s">
        <v>695</v>
      </c>
      <c r="I649" s="12" t="s">
        <v>2127</v>
      </c>
      <c r="J649" s="18"/>
      <c r="K649" s="11"/>
      <c r="L649" s="11"/>
      <c r="M649" s="11"/>
      <c r="N649" s="11"/>
      <c r="O649" s="11"/>
      <c r="P649" s="11"/>
    </row>
    <row r="650" spans="7:16" x14ac:dyDescent="0.3">
      <c r="G650" t="s">
        <v>696</v>
      </c>
      <c r="I650" s="12" t="s">
        <v>2128</v>
      </c>
      <c r="J650" s="18"/>
      <c r="K650" s="11"/>
      <c r="L650" s="11"/>
      <c r="M650" s="11"/>
      <c r="N650" s="11"/>
      <c r="O650" s="11"/>
      <c r="P650" s="11"/>
    </row>
    <row r="651" spans="7:16" x14ac:dyDescent="0.3">
      <c r="G651" t="s">
        <v>697</v>
      </c>
      <c r="I651" s="12" t="s">
        <v>2129</v>
      </c>
      <c r="J651" s="18"/>
      <c r="K651" s="11"/>
      <c r="L651" s="11"/>
      <c r="M651" s="11"/>
      <c r="N651" s="11"/>
      <c r="O651" s="11"/>
      <c r="P651" s="11"/>
    </row>
    <row r="652" spans="7:16" x14ac:dyDescent="0.3">
      <c r="G652" t="s">
        <v>698</v>
      </c>
      <c r="I652" s="12" t="s">
        <v>2130</v>
      </c>
      <c r="J652" s="18"/>
      <c r="K652" s="11"/>
      <c r="L652" s="11"/>
      <c r="M652" s="11"/>
      <c r="N652" s="11"/>
      <c r="O652" s="11"/>
      <c r="P652" s="11"/>
    </row>
    <row r="653" spans="7:16" x14ac:dyDescent="0.3">
      <c r="G653" t="s">
        <v>699</v>
      </c>
      <c r="I653" s="12" t="s">
        <v>2131</v>
      </c>
      <c r="J653" s="18"/>
      <c r="K653" s="11"/>
      <c r="L653" s="11"/>
      <c r="M653" s="11"/>
      <c r="N653" s="11"/>
      <c r="O653" s="11"/>
      <c r="P653" s="11"/>
    </row>
    <row r="654" spans="7:16" x14ac:dyDescent="0.3">
      <c r="G654" t="s">
        <v>700</v>
      </c>
      <c r="I654" s="12" t="s">
        <v>2132</v>
      </c>
      <c r="J654" s="18"/>
      <c r="K654" s="11"/>
      <c r="L654" s="11"/>
      <c r="M654" s="11"/>
      <c r="N654" s="11"/>
      <c r="O654" s="11"/>
      <c r="P654" s="11"/>
    </row>
    <row r="655" spans="7:16" x14ac:dyDescent="0.3">
      <c r="G655" t="s">
        <v>701</v>
      </c>
      <c r="I655" s="12" t="s">
        <v>2133</v>
      </c>
      <c r="J655" s="18"/>
      <c r="K655" s="11"/>
      <c r="L655" s="11"/>
      <c r="M655" s="11"/>
      <c r="N655" s="11"/>
      <c r="O655" s="11"/>
      <c r="P655" s="11"/>
    </row>
    <row r="656" spans="7:16" x14ac:dyDescent="0.3">
      <c r="G656" t="s">
        <v>702</v>
      </c>
      <c r="I656" s="12" t="s">
        <v>2134</v>
      </c>
      <c r="J656" s="18"/>
      <c r="K656" s="11"/>
      <c r="L656" s="11"/>
      <c r="M656" s="11"/>
      <c r="N656" s="11"/>
      <c r="O656" s="11"/>
      <c r="P656" s="11"/>
    </row>
    <row r="657" spans="7:16" x14ac:dyDescent="0.3">
      <c r="G657" t="s">
        <v>703</v>
      </c>
      <c r="I657" s="12" t="s">
        <v>2135</v>
      </c>
      <c r="J657" s="18"/>
      <c r="K657" s="11"/>
      <c r="L657" s="11"/>
      <c r="M657" s="11"/>
      <c r="N657" s="11"/>
      <c r="O657" s="11"/>
      <c r="P657" s="11"/>
    </row>
    <row r="658" spans="7:16" x14ac:dyDescent="0.3">
      <c r="G658" t="s">
        <v>703</v>
      </c>
      <c r="I658" s="12" t="s">
        <v>2136</v>
      </c>
      <c r="J658" s="18"/>
      <c r="K658" s="11"/>
      <c r="L658" s="11"/>
      <c r="M658" s="11"/>
      <c r="N658" s="11"/>
      <c r="O658" s="11"/>
      <c r="P658" s="11"/>
    </row>
    <row r="659" spans="7:16" x14ac:dyDescent="0.3">
      <c r="G659" t="s">
        <v>704</v>
      </c>
      <c r="I659" s="12" t="s">
        <v>2137</v>
      </c>
      <c r="J659" s="18"/>
      <c r="K659" s="11"/>
      <c r="L659" s="11"/>
      <c r="M659" s="11"/>
      <c r="N659" s="11"/>
      <c r="O659" s="11"/>
      <c r="P659" s="11"/>
    </row>
    <row r="660" spans="7:16" x14ac:dyDescent="0.3">
      <c r="G660" t="s">
        <v>705</v>
      </c>
      <c r="I660" s="12" t="s">
        <v>2138</v>
      </c>
      <c r="J660" s="18"/>
      <c r="K660" s="11"/>
      <c r="L660" s="11"/>
      <c r="M660" s="11"/>
      <c r="N660" s="11"/>
      <c r="O660" s="11"/>
      <c r="P660" s="11"/>
    </row>
    <row r="661" spans="7:16" x14ac:dyDescent="0.3">
      <c r="G661" t="s">
        <v>706</v>
      </c>
      <c r="I661" s="12" t="s">
        <v>2139</v>
      </c>
      <c r="J661" s="18"/>
      <c r="K661" s="11"/>
      <c r="L661" s="11"/>
      <c r="M661" s="11"/>
      <c r="N661" s="11"/>
      <c r="O661" s="11"/>
      <c r="P661" s="11"/>
    </row>
    <row r="662" spans="7:16" x14ac:dyDescent="0.3">
      <c r="G662" t="s">
        <v>707</v>
      </c>
      <c r="I662" s="12" t="s">
        <v>2140</v>
      </c>
      <c r="J662" s="18"/>
      <c r="K662" s="11"/>
      <c r="L662" s="11"/>
      <c r="M662" s="11"/>
      <c r="N662" s="11"/>
      <c r="O662" s="11"/>
      <c r="P662" s="11"/>
    </row>
    <row r="663" spans="7:16" x14ac:dyDescent="0.3">
      <c r="G663" t="s">
        <v>708</v>
      </c>
      <c r="I663" s="12" t="s">
        <v>2141</v>
      </c>
      <c r="J663" s="18"/>
      <c r="K663" s="11"/>
      <c r="L663" s="11"/>
      <c r="M663" s="11"/>
      <c r="N663" s="11"/>
      <c r="O663" s="11"/>
      <c r="P663" s="11"/>
    </row>
    <row r="664" spans="7:16" x14ac:dyDescent="0.3">
      <c r="G664" t="s">
        <v>709</v>
      </c>
      <c r="I664" s="12" t="s">
        <v>2142</v>
      </c>
      <c r="J664" s="18"/>
      <c r="K664" s="11"/>
      <c r="L664" s="11"/>
      <c r="M664" s="11"/>
      <c r="N664" s="11"/>
      <c r="O664" s="11"/>
      <c r="P664" s="11"/>
    </row>
    <row r="665" spans="7:16" x14ac:dyDescent="0.3">
      <c r="G665" t="s">
        <v>710</v>
      </c>
      <c r="I665" s="12" t="s">
        <v>2143</v>
      </c>
      <c r="J665" s="18"/>
      <c r="K665" s="11"/>
      <c r="L665" s="11"/>
      <c r="M665" s="11"/>
      <c r="N665" s="11"/>
      <c r="O665" s="11"/>
      <c r="P665" s="11"/>
    </row>
    <row r="666" spans="7:16" x14ac:dyDescent="0.3">
      <c r="G666" t="s">
        <v>711</v>
      </c>
      <c r="I666" s="12" t="s">
        <v>2144</v>
      </c>
      <c r="J666" s="18"/>
      <c r="K666" s="11"/>
      <c r="L666" s="11"/>
      <c r="M666" s="11"/>
      <c r="N666" s="11"/>
      <c r="O666" s="11"/>
      <c r="P666" s="11"/>
    </row>
    <row r="667" spans="7:16" x14ac:dyDescent="0.3">
      <c r="G667" t="s">
        <v>712</v>
      </c>
      <c r="I667" s="12" t="s">
        <v>2145</v>
      </c>
      <c r="J667" s="18"/>
      <c r="K667" s="11"/>
      <c r="L667" s="11"/>
      <c r="M667" s="11"/>
      <c r="N667" s="11"/>
      <c r="O667" s="11"/>
      <c r="P667" s="11"/>
    </row>
    <row r="668" spans="7:16" x14ac:dyDescent="0.3">
      <c r="G668" t="s">
        <v>713</v>
      </c>
      <c r="I668" s="12" t="s">
        <v>2146</v>
      </c>
      <c r="J668" s="18"/>
      <c r="K668" s="11"/>
      <c r="L668" s="11"/>
      <c r="M668" s="11"/>
      <c r="N668" s="11"/>
      <c r="O668" s="11"/>
      <c r="P668" s="11"/>
    </row>
    <row r="669" spans="7:16" x14ac:dyDescent="0.3">
      <c r="G669" t="s">
        <v>714</v>
      </c>
      <c r="I669" s="12" t="s">
        <v>2147</v>
      </c>
      <c r="J669" s="18"/>
      <c r="K669" s="11"/>
      <c r="L669" s="11"/>
      <c r="M669" s="11"/>
      <c r="N669" s="11"/>
      <c r="O669" s="11"/>
      <c r="P669" s="11"/>
    </row>
    <row r="670" spans="7:16" x14ac:dyDescent="0.3">
      <c r="G670" t="s">
        <v>715</v>
      </c>
      <c r="I670" s="12" t="s">
        <v>2148</v>
      </c>
      <c r="J670" s="18"/>
      <c r="K670" s="11"/>
      <c r="L670" s="11"/>
      <c r="M670" s="11"/>
      <c r="N670" s="11"/>
      <c r="O670" s="11"/>
      <c r="P670" s="11"/>
    </row>
    <row r="671" spans="7:16" x14ac:dyDescent="0.3">
      <c r="G671" t="s">
        <v>716</v>
      </c>
      <c r="I671" s="12" t="s">
        <v>2149</v>
      </c>
      <c r="J671" s="18"/>
      <c r="K671" s="11"/>
      <c r="L671" s="11"/>
      <c r="M671" s="11"/>
      <c r="N671" s="11"/>
      <c r="O671" s="11"/>
      <c r="P671" s="11"/>
    </row>
    <row r="672" spans="7:16" x14ac:dyDescent="0.3">
      <c r="G672" t="s">
        <v>717</v>
      </c>
      <c r="I672" s="12" t="s">
        <v>2150</v>
      </c>
      <c r="J672" s="18"/>
      <c r="K672" s="11"/>
      <c r="L672" s="11"/>
      <c r="M672" s="11"/>
      <c r="N672" s="11"/>
      <c r="O672" s="11"/>
      <c r="P672" s="11"/>
    </row>
    <row r="673" spans="7:16" x14ac:dyDescent="0.3">
      <c r="G673" t="s">
        <v>718</v>
      </c>
      <c r="I673" s="12" t="s">
        <v>10</v>
      </c>
      <c r="J673" s="18"/>
      <c r="K673" s="11"/>
      <c r="L673" s="11"/>
      <c r="M673" s="11"/>
      <c r="N673" s="11"/>
      <c r="O673" s="11"/>
      <c r="P673" s="11"/>
    </row>
    <row r="674" spans="7:16" x14ac:dyDescent="0.3">
      <c r="G674" t="s">
        <v>719</v>
      </c>
      <c r="I674" s="12" t="s">
        <v>2151</v>
      </c>
      <c r="J674" s="18"/>
      <c r="K674" s="11"/>
      <c r="L674" s="11"/>
      <c r="M674" s="11"/>
      <c r="N674" s="11"/>
      <c r="O674" s="11"/>
      <c r="P674" s="11"/>
    </row>
    <row r="675" spans="7:16" x14ac:dyDescent="0.3">
      <c r="G675" t="s">
        <v>720</v>
      </c>
      <c r="I675" s="12" t="s">
        <v>2152</v>
      </c>
      <c r="J675" s="18"/>
      <c r="K675" s="11"/>
      <c r="L675" s="11"/>
      <c r="M675" s="11"/>
      <c r="N675" s="11"/>
      <c r="O675" s="11"/>
      <c r="P675" s="11"/>
    </row>
    <row r="676" spans="7:16" x14ac:dyDescent="0.3">
      <c r="G676" t="s">
        <v>721</v>
      </c>
      <c r="I676" s="12" t="s">
        <v>2153</v>
      </c>
      <c r="J676" s="18"/>
      <c r="K676" s="11"/>
      <c r="L676" s="11"/>
      <c r="M676" s="11"/>
      <c r="N676" s="11"/>
      <c r="O676" s="11"/>
      <c r="P676" s="11"/>
    </row>
    <row r="677" spans="7:16" x14ac:dyDescent="0.3">
      <c r="G677" t="s">
        <v>722</v>
      </c>
      <c r="I677" s="12" t="s">
        <v>2154</v>
      </c>
      <c r="J677" s="18"/>
      <c r="K677" s="11"/>
      <c r="L677" s="11"/>
      <c r="M677" s="11"/>
      <c r="N677" s="11"/>
      <c r="O677" s="11"/>
      <c r="P677" s="11"/>
    </row>
    <row r="678" spans="7:16" x14ac:dyDescent="0.3">
      <c r="G678" t="s">
        <v>723</v>
      </c>
      <c r="I678" s="12" t="s">
        <v>2155</v>
      </c>
      <c r="J678" s="18"/>
      <c r="K678" s="11"/>
      <c r="L678" s="11"/>
      <c r="M678" s="11"/>
      <c r="N678" s="11"/>
      <c r="O678" s="11"/>
      <c r="P678" s="11"/>
    </row>
    <row r="679" spans="7:16" x14ac:dyDescent="0.3">
      <c r="G679" t="s">
        <v>724</v>
      </c>
      <c r="I679" s="12" t="s">
        <v>2156</v>
      </c>
      <c r="J679" s="18"/>
      <c r="K679" s="11"/>
      <c r="L679" s="11"/>
      <c r="M679" s="11"/>
      <c r="N679" s="11"/>
      <c r="O679" s="11"/>
      <c r="P679" s="11"/>
    </row>
    <row r="680" spans="7:16" x14ac:dyDescent="0.3">
      <c r="G680" t="s">
        <v>725</v>
      </c>
      <c r="I680" s="12" t="s">
        <v>2157</v>
      </c>
      <c r="J680" s="18"/>
      <c r="K680" s="11"/>
      <c r="L680" s="11"/>
      <c r="M680" s="11"/>
      <c r="N680" s="11"/>
      <c r="O680" s="11"/>
      <c r="P680" s="11"/>
    </row>
    <row r="681" spans="7:16" x14ac:dyDescent="0.3">
      <c r="G681" t="s">
        <v>726</v>
      </c>
      <c r="I681" s="12" t="s">
        <v>2158</v>
      </c>
      <c r="J681" s="18"/>
      <c r="K681" s="11"/>
      <c r="L681" s="11"/>
      <c r="M681" s="11"/>
      <c r="N681" s="11"/>
      <c r="O681" s="11"/>
      <c r="P681" s="11"/>
    </row>
    <row r="682" spans="7:16" x14ac:dyDescent="0.3">
      <c r="G682" t="s">
        <v>727</v>
      </c>
      <c r="I682" s="12" t="s">
        <v>2159</v>
      </c>
      <c r="J682" s="18"/>
      <c r="K682" s="11"/>
      <c r="L682" s="11"/>
      <c r="M682" s="11"/>
      <c r="N682" s="11"/>
      <c r="O682" s="11"/>
      <c r="P682" s="11"/>
    </row>
    <row r="683" spans="7:16" x14ac:dyDescent="0.3">
      <c r="G683" t="s">
        <v>728</v>
      </c>
      <c r="I683" s="12" t="s">
        <v>2160</v>
      </c>
      <c r="J683" s="18"/>
      <c r="K683" s="11"/>
      <c r="L683" s="11"/>
      <c r="M683" s="11"/>
      <c r="N683" s="11"/>
      <c r="O683" s="11"/>
      <c r="P683" s="11"/>
    </row>
    <row r="684" spans="7:16" x14ac:dyDescent="0.3">
      <c r="G684" t="s">
        <v>729</v>
      </c>
      <c r="I684" s="12" t="s">
        <v>2161</v>
      </c>
      <c r="J684" s="18"/>
      <c r="K684" s="11"/>
      <c r="L684" s="11"/>
      <c r="M684" s="11"/>
      <c r="N684" s="11"/>
      <c r="O684" s="11"/>
      <c r="P684" s="11"/>
    </row>
    <row r="685" spans="7:16" x14ac:dyDescent="0.3">
      <c r="G685" t="s">
        <v>730</v>
      </c>
      <c r="I685" s="12" t="s">
        <v>2162</v>
      </c>
      <c r="J685" s="18"/>
      <c r="K685" s="11"/>
      <c r="L685" s="11"/>
      <c r="M685" s="11"/>
      <c r="N685" s="11"/>
      <c r="O685" s="11"/>
      <c r="P685" s="11"/>
    </row>
    <row r="686" spans="7:16" x14ac:dyDescent="0.3">
      <c r="G686" t="s">
        <v>731</v>
      </c>
      <c r="I686" s="12" t="s">
        <v>2163</v>
      </c>
      <c r="J686" s="18"/>
      <c r="K686" s="11"/>
      <c r="L686" s="11"/>
      <c r="M686" s="11"/>
      <c r="N686" s="11"/>
      <c r="O686" s="11"/>
      <c r="P686" s="11"/>
    </row>
    <row r="687" spans="7:16" x14ac:dyDescent="0.3">
      <c r="G687" t="s">
        <v>732</v>
      </c>
      <c r="I687" s="12" t="s">
        <v>2164</v>
      </c>
      <c r="J687" s="18"/>
      <c r="K687" s="11"/>
      <c r="L687" s="11"/>
      <c r="M687" s="11"/>
      <c r="N687" s="11"/>
      <c r="O687" s="11"/>
      <c r="P687" s="11"/>
    </row>
    <row r="688" spans="7:16" x14ac:dyDescent="0.3">
      <c r="G688" t="s">
        <v>733</v>
      </c>
      <c r="I688" s="12" t="s">
        <v>2165</v>
      </c>
      <c r="J688" s="18"/>
      <c r="K688" s="11"/>
      <c r="L688" s="11"/>
      <c r="M688" s="11"/>
      <c r="N688" s="11"/>
      <c r="O688" s="11"/>
      <c r="P688" s="11"/>
    </row>
    <row r="689" spans="7:16" x14ac:dyDescent="0.3">
      <c r="G689" t="s">
        <v>734</v>
      </c>
      <c r="I689" s="12" t="s">
        <v>2166</v>
      </c>
      <c r="J689" s="18"/>
      <c r="K689" s="11"/>
      <c r="L689" s="11"/>
      <c r="M689" s="11"/>
      <c r="N689" s="11"/>
      <c r="O689" s="11"/>
      <c r="P689" s="11"/>
    </row>
    <row r="690" spans="7:16" x14ac:dyDescent="0.3">
      <c r="G690" t="s">
        <v>735</v>
      </c>
      <c r="I690" s="12" t="s">
        <v>2167</v>
      </c>
      <c r="J690" s="18"/>
      <c r="K690" s="11"/>
      <c r="L690" s="11"/>
      <c r="M690" s="11"/>
      <c r="N690" s="11"/>
      <c r="O690" s="11"/>
      <c r="P690" s="11"/>
    </row>
    <row r="691" spans="7:16" x14ac:dyDescent="0.3">
      <c r="G691" t="s">
        <v>736</v>
      </c>
      <c r="I691" s="12" t="s">
        <v>2168</v>
      </c>
      <c r="J691" s="18"/>
      <c r="K691" s="11"/>
      <c r="L691" s="11"/>
      <c r="M691" s="11"/>
      <c r="N691" s="11"/>
      <c r="O691" s="11"/>
      <c r="P691" s="11"/>
    </row>
    <row r="692" spans="7:16" x14ac:dyDescent="0.3">
      <c r="G692" t="s">
        <v>737</v>
      </c>
      <c r="I692" s="12" t="s">
        <v>2169</v>
      </c>
      <c r="J692" s="18"/>
      <c r="K692" s="11"/>
      <c r="L692" s="11"/>
      <c r="M692" s="11"/>
      <c r="N692" s="11"/>
      <c r="O692" s="11"/>
      <c r="P692" s="11"/>
    </row>
    <row r="693" spans="7:16" x14ac:dyDescent="0.3">
      <c r="G693" t="s">
        <v>738</v>
      </c>
      <c r="I693" s="12" t="s">
        <v>2170</v>
      </c>
      <c r="J693" s="18"/>
      <c r="K693" s="11"/>
      <c r="L693" s="11"/>
      <c r="M693" s="11"/>
      <c r="N693" s="11"/>
      <c r="O693" s="11"/>
      <c r="P693" s="11"/>
    </row>
    <row r="694" spans="7:16" x14ac:dyDescent="0.3">
      <c r="G694" t="s">
        <v>739</v>
      </c>
      <c r="I694" s="12" t="s">
        <v>2171</v>
      </c>
      <c r="J694" s="18"/>
      <c r="K694" s="11"/>
      <c r="L694" s="11"/>
      <c r="M694" s="11"/>
      <c r="N694" s="11"/>
      <c r="O694" s="11"/>
      <c r="P694" s="11"/>
    </row>
    <row r="695" spans="7:16" x14ac:dyDescent="0.3">
      <c r="G695" t="s">
        <v>740</v>
      </c>
      <c r="I695" s="12" t="s">
        <v>2172</v>
      </c>
      <c r="J695" s="18"/>
      <c r="K695" s="11"/>
      <c r="L695" s="11"/>
      <c r="M695" s="11"/>
      <c r="N695" s="11"/>
      <c r="O695" s="11"/>
      <c r="P695" s="11"/>
    </row>
    <row r="696" spans="7:16" x14ac:dyDescent="0.3">
      <c r="G696" t="s">
        <v>741</v>
      </c>
      <c r="I696" s="12" t="s">
        <v>2173</v>
      </c>
      <c r="J696" s="18"/>
      <c r="K696" s="11"/>
      <c r="L696" s="11"/>
      <c r="M696" s="11"/>
      <c r="N696" s="11"/>
      <c r="O696" s="11"/>
      <c r="P696" s="11"/>
    </row>
    <row r="697" spans="7:16" x14ac:dyDescent="0.3">
      <c r="G697" t="s">
        <v>742</v>
      </c>
      <c r="I697" s="12" t="s">
        <v>2174</v>
      </c>
      <c r="J697" s="18"/>
      <c r="K697" s="11"/>
      <c r="L697" s="11"/>
      <c r="M697" s="11"/>
      <c r="N697" s="11"/>
      <c r="O697" s="11"/>
      <c r="P697" s="11"/>
    </row>
    <row r="698" spans="7:16" x14ac:dyDescent="0.3">
      <c r="G698" t="s">
        <v>743</v>
      </c>
      <c r="I698" s="12" t="s">
        <v>2175</v>
      </c>
      <c r="J698" s="18"/>
      <c r="K698" s="11"/>
      <c r="L698" s="11"/>
      <c r="M698" s="11"/>
      <c r="N698" s="11"/>
      <c r="O698" s="11"/>
      <c r="P698" s="11"/>
    </row>
    <row r="699" spans="7:16" x14ac:dyDescent="0.3">
      <c r="G699" t="s">
        <v>744</v>
      </c>
      <c r="I699" s="12" t="s">
        <v>2176</v>
      </c>
      <c r="J699" s="18"/>
      <c r="K699" s="11"/>
      <c r="L699" s="11"/>
      <c r="M699" s="11"/>
      <c r="N699" s="11"/>
      <c r="O699" s="11"/>
      <c r="P699" s="11"/>
    </row>
    <row r="700" spans="7:16" x14ac:dyDescent="0.3">
      <c r="G700" t="s">
        <v>745</v>
      </c>
      <c r="I700" s="12" t="s">
        <v>2177</v>
      </c>
      <c r="J700" s="18"/>
      <c r="K700" s="11"/>
      <c r="L700" s="11"/>
      <c r="M700" s="11"/>
      <c r="N700" s="11"/>
      <c r="O700" s="11"/>
      <c r="P700" s="11"/>
    </row>
    <row r="701" spans="7:16" x14ac:dyDescent="0.3">
      <c r="G701" t="s">
        <v>746</v>
      </c>
      <c r="I701" s="12" t="s">
        <v>2178</v>
      </c>
      <c r="J701" s="18"/>
      <c r="K701" s="11"/>
      <c r="L701" s="11"/>
      <c r="M701" s="11"/>
      <c r="N701" s="11"/>
      <c r="O701" s="11"/>
      <c r="P701" s="11"/>
    </row>
    <row r="702" spans="7:16" x14ac:dyDescent="0.3">
      <c r="G702" t="s">
        <v>747</v>
      </c>
      <c r="I702" s="12" t="s">
        <v>2179</v>
      </c>
      <c r="J702" s="18"/>
      <c r="K702" s="11"/>
      <c r="L702" s="11"/>
      <c r="M702" s="11"/>
      <c r="N702" s="11"/>
      <c r="O702" s="11"/>
      <c r="P702" s="11"/>
    </row>
    <row r="703" spans="7:16" x14ac:dyDescent="0.3">
      <c r="G703" t="s">
        <v>748</v>
      </c>
      <c r="I703" s="12" t="s">
        <v>2180</v>
      </c>
      <c r="J703" s="18"/>
      <c r="K703" s="11"/>
      <c r="L703" s="11"/>
      <c r="M703" s="11"/>
      <c r="N703" s="11"/>
      <c r="O703" s="11"/>
      <c r="P703" s="11"/>
    </row>
    <row r="704" spans="7:16" x14ac:dyDescent="0.3">
      <c r="G704" t="s">
        <v>749</v>
      </c>
      <c r="I704" s="12" t="s">
        <v>2181</v>
      </c>
      <c r="J704" s="18"/>
      <c r="K704" s="11"/>
      <c r="L704" s="11"/>
      <c r="M704" s="11"/>
      <c r="N704" s="11"/>
      <c r="O704" s="11"/>
      <c r="P704" s="11"/>
    </row>
    <row r="705" spans="7:16" x14ac:dyDescent="0.3">
      <c r="G705" t="s">
        <v>750</v>
      </c>
      <c r="I705" s="12" t="s">
        <v>2182</v>
      </c>
      <c r="J705" s="18"/>
      <c r="K705" s="11"/>
      <c r="L705" s="11"/>
      <c r="M705" s="11"/>
      <c r="N705" s="11"/>
      <c r="O705" s="11"/>
      <c r="P705" s="11"/>
    </row>
    <row r="706" spans="7:16" x14ac:dyDescent="0.3">
      <c r="G706" t="s">
        <v>751</v>
      </c>
      <c r="I706" s="12" t="s">
        <v>2183</v>
      </c>
      <c r="J706" s="18"/>
      <c r="K706" s="11"/>
      <c r="L706" s="11"/>
      <c r="M706" s="11"/>
      <c r="N706" s="11"/>
      <c r="O706" s="11"/>
      <c r="P706" s="11"/>
    </row>
    <row r="707" spans="7:16" x14ac:dyDescent="0.3">
      <c r="G707" t="s">
        <v>752</v>
      </c>
      <c r="I707" s="12" t="s">
        <v>2184</v>
      </c>
      <c r="J707" s="18"/>
      <c r="K707" s="11"/>
      <c r="L707" s="11"/>
      <c r="M707" s="11"/>
      <c r="N707" s="11"/>
      <c r="O707" s="11"/>
      <c r="P707" s="11"/>
    </row>
    <row r="708" spans="7:16" x14ac:dyDescent="0.3">
      <c r="G708" t="s">
        <v>753</v>
      </c>
      <c r="I708" s="12" t="s">
        <v>2185</v>
      </c>
      <c r="J708" s="18"/>
      <c r="K708" s="11"/>
      <c r="L708" s="11"/>
      <c r="M708" s="11"/>
      <c r="N708" s="11"/>
      <c r="O708" s="11"/>
      <c r="P708" s="11"/>
    </row>
    <row r="709" spans="7:16" x14ac:dyDescent="0.3">
      <c r="G709" t="s">
        <v>754</v>
      </c>
      <c r="I709" s="12" t="s">
        <v>2186</v>
      </c>
      <c r="J709" s="18"/>
      <c r="K709" s="11"/>
      <c r="L709" s="11"/>
      <c r="M709" s="11"/>
      <c r="N709" s="11"/>
      <c r="O709" s="11"/>
      <c r="P709" s="11"/>
    </row>
    <row r="710" spans="7:16" x14ac:dyDescent="0.3">
      <c r="G710" t="s">
        <v>755</v>
      </c>
      <c r="I710" s="12" t="s">
        <v>2187</v>
      </c>
      <c r="J710" s="18"/>
      <c r="K710" s="11"/>
      <c r="L710" s="11"/>
      <c r="M710" s="11"/>
      <c r="N710" s="11"/>
      <c r="O710" s="11"/>
      <c r="P710" s="11"/>
    </row>
    <row r="711" spans="7:16" x14ac:dyDescent="0.3">
      <c r="G711" t="s">
        <v>756</v>
      </c>
      <c r="I711" s="12" t="s">
        <v>2188</v>
      </c>
      <c r="J711" s="18"/>
      <c r="K711" s="11"/>
      <c r="L711" s="11"/>
      <c r="M711" s="11"/>
      <c r="N711" s="11"/>
      <c r="O711" s="11"/>
      <c r="P711" s="11"/>
    </row>
    <row r="712" spans="7:16" x14ac:dyDescent="0.3">
      <c r="G712" t="s">
        <v>757</v>
      </c>
      <c r="I712" s="12" t="s">
        <v>2189</v>
      </c>
      <c r="J712" s="18"/>
      <c r="K712" s="11"/>
      <c r="L712" s="11"/>
      <c r="M712" s="11"/>
      <c r="N712" s="11"/>
      <c r="O712" s="11"/>
      <c r="P712" s="11"/>
    </row>
    <row r="713" spans="7:16" x14ac:dyDescent="0.3">
      <c r="G713" t="s">
        <v>758</v>
      </c>
      <c r="I713" s="12" t="s">
        <v>2190</v>
      </c>
      <c r="J713" s="18"/>
      <c r="K713" s="11"/>
      <c r="L713" s="11"/>
      <c r="M713" s="11"/>
      <c r="N713" s="11"/>
      <c r="O713" s="11"/>
      <c r="P713" s="11"/>
    </row>
    <row r="714" spans="7:16" x14ac:dyDescent="0.3">
      <c r="G714" t="s">
        <v>759</v>
      </c>
      <c r="I714" s="12" t="s">
        <v>2191</v>
      </c>
      <c r="J714" s="18"/>
      <c r="K714" s="11"/>
      <c r="L714" s="11"/>
      <c r="M714" s="11"/>
      <c r="N714" s="11"/>
      <c r="O714" s="11"/>
      <c r="P714" s="11"/>
    </row>
    <row r="715" spans="7:16" x14ac:dyDescent="0.3">
      <c r="G715" t="s">
        <v>760</v>
      </c>
      <c r="I715" s="12" t="s">
        <v>2192</v>
      </c>
      <c r="J715" s="18"/>
      <c r="K715" s="11"/>
      <c r="L715" s="11"/>
      <c r="M715" s="11"/>
      <c r="N715" s="11"/>
      <c r="O715" s="11"/>
      <c r="P715" s="11"/>
    </row>
    <row r="716" spans="7:16" x14ac:dyDescent="0.3">
      <c r="G716" t="s">
        <v>761</v>
      </c>
      <c r="I716" s="12" t="s">
        <v>2193</v>
      </c>
      <c r="J716" s="18"/>
      <c r="K716" s="11"/>
      <c r="L716" s="11"/>
      <c r="M716" s="11"/>
      <c r="N716" s="11"/>
      <c r="O716" s="11"/>
      <c r="P716" s="11"/>
    </row>
    <row r="717" spans="7:16" x14ac:dyDescent="0.3">
      <c r="G717" t="s">
        <v>762</v>
      </c>
      <c r="I717" s="12" t="s">
        <v>2194</v>
      </c>
      <c r="J717" s="18"/>
      <c r="K717" s="11"/>
      <c r="L717" s="11"/>
      <c r="M717" s="11"/>
      <c r="N717" s="11"/>
      <c r="O717" s="11"/>
      <c r="P717" s="11"/>
    </row>
    <row r="718" spans="7:16" x14ac:dyDescent="0.3">
      <c r="G718" t="s">
        <v>763</v>
      </c>
      <c r="I718" s="12" t="s">
        <v>2195</v>
      </c>
      <c r="J718" s="18"/>
      <c r="K718" s="11"/>
      <c r="L718" s="11"/>
      <c r="M718" s="11"/>
      <c r="N718" s="11"/>
      <c r="O718" s="11"/>
      <c r="P718" s="11"/>
    </row>
    <row r="719" spans="7:16" x14ac:dyDescent="0.3">
      <c r="G719" t="s">
        <v>764</v>
      </c>
      <c r="I719" s="12" t="s">
        <v>2196</v>
      </c>
      <c r="J719" s="18"/>
      <c r="K719" s="11"/>
      <c r="L719" s="11"/>
      <c r="M719" s="11"/>
      <c r="N719" s="11"/>
      <c r="O719" s="11"/>
      <c r="P719" s="11"/>
    </row>
    <row r="720" spans="7:16" x14ac:dyDescent="0.3">
      <c r="G720" t="s">
        <v>765</v>
      </c>
      <c r="I720" s="12" t="s">
        <v>2197</v>
      </c>
      <c r="J720" s="18"/>
      <c r="K720" s="11"/>
      <c r="L720" s="11"/>
      <c r="M720" s="11"/>
      <c r="N720" s="11"/>
      <c r="O720" s="11"/>
      <c r="P720" s="11"/>
    </row>
    <row r="721" spans="7:16" x14ac:dyDescent="0.3">
      <c r="G721" t="s">
        <v>766</v>
      </c>
      <c r="I721" s="12" t="s">
        <v>2198</v>
      </c>
      <c r="J721" s="18"/>
      <c r="K721" s="11"/>
      <c r="L721" s="11"/>
      <c r="M721" s="11"/>
      <c r="N721" s="11"/>
      <c r="O721" s="11"/>
      <c r="P721" s="11"/>
    </row>
    <row r="722" spans="7:16" x14ac:dyDescent="0.3">
      <c r="G722" t="s">
        <v>767</v>
      </c>
      <c r="I722" s="12" t="s">
        <v>2199</v>
      </c>
      <c r="J722" s="18"/>
      <c r="K722" s="11"/>
      <c r="L722" s="11"/>
      <c r="M722" s="11"/>
      <c r="N722" s="11"/>
      <c r="O722" s="11"/>
      <c r="P722" s="11"/>
    </row>
    <row r="723" spans="7:16" x14ac:dyDescent="0.3">
      <c r="G723" t="s">
        <v>3</v>
      </c>
      <c r="I723" s="12" t="s">
        <v>2200</v>
      </c>
      <c r="J723" s="18"/>
      <c r="K723" s="11"/>
      <c r="L723" s="11"/>
      <c r="M723" s="11"/>
      <c r="N723" s="11"/>
      <c r="O723" s="11"/>
      <c r="P723" s="11"/>
    </row>
    <row r="724" spans="7:16" x14ac:dyDescent="0.3">
      <c r="G724" t="s">
        <v>768</v>
      </c>
      <c r="I724" s="12" t="s">
        <v>2201</v>
      </c>
      <c r="J724" s="18"/>
      <c r="K724" s="11"/>
      <c r="L724" s="11"/>
      <c r="M724" s="11"/>
      <c r="N724" s="11"/>
      <c r="O724" s="11"/>
      <c r="P724" s="11"/>
    </row>
    <row r="725" spans="7:16" x14ac:dyDescent="0.3">
      <c r="G725" t="s">
        <v>769</v>
      </c>
      <c r="I725" s="12" t="s">
        <v>2202</v>
      </c>
      <c r="J725" s="18"/>
      <c r="K725" s="11"/>
      <c r="L725" s="11"/>
      <c r="M725" s="11"/>
      <c r="N725" s="11"/>
      <c r="O725" s="11"/>
      <c r="P725" s="11"/>
    </row>
    <row r="726" spans="7:16" x14ac:dyDescent="0.3">
      <c r="G726" t="s">
        <v>770</v>
      </c>
      <c r="I726" s="12" t="s">
        <v>2203</v>
      </c>
      <c r="J726" s="18"/>
      <c r="K726" s="11"/>
      <c r="L726" s="11"/>
      <c r="M726" s="11"/>
      <c r="N726" s="11"/>
      <c r="O726" s="11"/>
      <c r="P726" s="11"/>
    </row>
    <row r="727" spans="7:16" x14ac:dyDescent="0.3">
      <c r="G727" t="s">
        <v>771</v>
      </c>
      <c r="I727" s="12" t="s">
        <v>2204</v>
      </c>
      <c r="J727" s="18"/>
      <c r="K727" s="11"/>
      <c r="L727" s="11"/>
      <c r="M727" s="11"/>
      <c r="N727" s="11"/>
      <c r="O727" s="11"/>
      <c r="P727" s="11"/>
    </row>
    <row r="728" spans="7:16" x14ac:dyDescent="0.3">
      <c r="G728" t="s">
        <v>772</v>
      </c>
      <c r="I728" s="12" t="s">
        <v>2205</v>
      </c>
      <c r="J728" s="18"/>
      <c r="K728" s="11"/>
      <c r="L728" s="11"/>
      <c r="M728" s="11"/>
      <c r="N728" s="11"/>
      <c r="O728" s="11"/>
      <c r="P728" s="11"/>
    </row>
    <row r="729" spans="7:16" x14ac:dyDescent="0.3">
      <c r="G729" t="s">
        <v>773</v>
      </c>
      <c r="I729" s="12" t="s">
        <v>2206</v>
      </c>
      <c r="J729" s="18"/>
      <c r="K729" s="11"/>
      <c r="L729" s="11"/>
      <c r="M729" s="11"/>
      <c r="N729" s="11"/>
      <c r="O729" s="11"/>
      <c r="P729" s="11"/>
    </row>
    <row r="730" spans="7:16" x14ac:dyDescent="0.3">
      <c r="G730" t="s">
        <v>774</v>
      </c>
      <c r="I730" s="12" t="s">
        <v>2207</v>
      </c>
      <c r="J730" s="18"/>
      <c r="K730" s="11"/>
      <c r="L730" s="11"/>
      <c r="M730" s="11"/>
      <c r="N730" s="11"/>
      <c r="O730" s="11"/>
      <c r="P730" s="11"/>
    </row>
    <row r="731" spans="7:16" x14ac:dyDescent="0.3">
      <c r="G731" t="s">
        <v>775</v>
      </c>
      <c r="I731" s="12" t="s">
        <v>2208</v>
      </c>
      <c r="J731" s="18"/>
      <c r="K731" s="11"/>
      <c r="L731" s="11"/>
      <c r="M731" s="11"/>
      <c r="N731" s="11"/>
      <c r="O731" s="11"/>
      <c r="P731" s="11"/>
    </row>
    <row r="732" spans="7:16" x14ac:dyDescent="0.3">
      <c r="G732" t="s">
        <v>776</v>
      </c>
      <c r="I732" s="12" t="s">
        <v>2209</v>
      </c>
      <c r="J732" s="18"/>
      <c r="K732" s="11"/>
      <c r="L732" s="11"/>
      <c r="M732" s="11"/>
      <c r="N732" s="11"/>
      <c r="O732" s="11"/>
      <c r="P732" s="11"/>
    </row>
    <row r="733" spans="7:16" x14ac:dyDescent="0.3">
      <c r="G733" t="s">
        <v>777</v>
      </c>
      <c r="I733" s="12" t="s">
        <v>2210</v>
      </c>
      <c r="J733" s="18"/>
      <c r="K733" s="11"/>
      <c r="L733" s="11"/>
      <c r="M733" s="11"/>
      <c r="N733" s="11"/>
      <c r="O733" s="11"/>
      <c r="P733" s="11"/>
    </row>
    <row r="734" spans="7:16" x14ac:dyDescent="0.3">
      <c r="G734" t="s">
        <v>778</v>
      </c>
      <c r="I734" s="12" t="s">
        <v>2211</v>
      </c>
      <c r="J734" s="18"/>
      <c r="K734" s="11"/>
      <c r="L734" s="11"/>
      <c r="M734" s="11"/>
      <c r="N734" s="11"/>
      <c r="O734" s="11"/>
      <c r="P734" s="11"/>
    </row>
    <row r="735" spans="7:16" x14ac:dyDescent="0.3">
      <c r="G735" t="s">
        <v>779</v>
      </c>
      <c r="I735" s="12" t="s">
        <v>2212</v>
      </c>
      <c r="J735" s="18"/>
      <c r="K735" s="11"/>
      <c r="L735" s="11"/>
      <c r="M735" s="11"/>
      <c r="N735" s="11"/>
      <c r="O735" s="11"/>
      <c r="P735" s="11"/>
    </row>
    <row r="736" spans="7:16" x14ac:dyDescent="0.3">
      <c r="G736" t="s">
        <v>780</v>
      </c>
      <c r="I736" s="12" t="s">
        <v>2213</v>
      </c>
      <c r="J736" s="18"/>
      <c r="K736" s="11"/>
      <c r="L736" s="11"/>
      <c r="M736" s="11"/>
      <c r="N736" s="11"/>
      <c r="O736" s="11"/>
      <c r="P736" s="11"/>
    </row>
    <row r="737" spans="7:16" x14ac:dyDescent="0.3">
      <c r="G737" t="s">
        <v>781</v>
      </c>
      <c r="I737" s="12" t="s">
        <v>2214</v>
      </c>
      <c r="J737" s="18"/>
      <c r="K737" s="11"/>
      <c r="L737" s="11"/>
      <c r="M737" s="11"/>
      <c r="N737" s="11"/>
      <c r="O737" s="11"/>
      <c r="P737" s="11"/>
    </row>
    <row r="738" spans="7:16" x14ac:dyDescent="0.3">
      <c r="G738" t="s">
        <v>782</v>
      </c>
      <c r="I738" s="12" t="s">
        <v>2215</v>
      </c>
      <c r="J738" s="18"/>
      <c r="K738" s="11"/>
      <c r="L738" s="11"/>
      <c r="M738" s="11"/>
      <c r="N738" s="11"/>
      <c r="O738" s="11"/>
      <c r="P738" s="11"/>
    </row>
    <row r="739" spans="7:16" x14ac:dyDescent="0.3">
      <c r="G739" t="s">
        <v>783</v>
      </c>
      <c r="I739" s="12" t="s">
        <v>2216</v>
      </c>
      <c r="J739" s="18"/>
      <c r="K739" s="11"/>
      <c r="L739" s="11"/>
      <c r="M739" s="11"/>
      <c r="N739" s="11"/>
      <c r="O739" s="11"/>
      <c r="P739" s="11"/>
    </row>
    <row r="740" spans="7:16" x14ac:dyDescent="0.3">
      <c r="G740" t="s">
        <v>784</v>
      </c>
      <c r="I740" s="12" t="s">
        <v>2217</v>
      </c>
      <c r="J740" s="18"/>
      <c r="K740" s="11"/>
      <c r="L740" s="11"/>
      <c r="M740" s="11"/>
      <c r="N740" s="11"/>
      <c r="O740" s="11"/>
      <c r="P740" s="11"/>
    </row>
    <row r="741" spans="7:16" x14ac:dyDescent="0.3">
      <c r="G741" t="s">
        <v>785</v>
      </c>
      <c r="I741" s="12" t="s">
        <v>2218</v>
      </c>
      <c r="J741" s="18"/>
      <c r="K741" s="11"/>
      <c r="L741" s="11"/>
      <c r="M741" s="11"/>
      <c r="N741" s="11"/>
      <c r="O741" s="11"/>
      <c r="P741" s="11"/>
    </row>
    <row r="742" spans="7:16" x14ac:dyDescent="0.3">
      <c r="G742" t="s">
        <v>786</v>
      </c>
      <c r="I742" s="12" t="s">
        <v>2219</v>
      </c>
      <c r="J742" s="18"/>
      <c r="K742" s="11"/>
      <c r="L742" s="11"/>
      <c r="M742" s="11"/>
      <c r="N742" s="11"/>
      <c r="O742" s="11"/>
      <c r="P742" s="11"/>
    </row>
    <row r="743" spans="7:16" x14ac:dyDescent="0.3">
      <c r="G743" t="s">
        <v>787</v>
      </c>
      <c r="I743" s="12" t="s">
        <v>2220</v>
      </c>
      <c r="J743" s="18"/>
      <c r="K743" s="11"/>
      <c r="L743" s="11"/>
      <c r="M743" s="11"/>
      <c r="N743" s="11"/>
      <c r="O743" s="11"/>
      <c r="P743" s="11"/>
    </row>
    <row r="744" spans="7:16" x14ac:dyDescent="0.3">
      <c r="G744" t="s">
        <v>788</v>
      </c>
      <c r="I744" s="12" t="s">
        <v>2221</v>
      </c>
      <c r="J744" s="18"/>
      <c r="K744" s="11"/>
      <c r="L744" s="11"/>
      <c r="M744" s="11"/>
      <c r="N744" s="11"/>
      <c r="O744" s="11"/>
      <c r="P744" s="11"/>
    </row>
    <row r="745" spans="7:16" x14ac:dyDescent="0.3">
      <c r="G745" t="s">
        <v>789</v>
      </c>
      <c r="I745" s="12" t="s">
        <v>2222</v>
      </c>
      <c r="J745" s="18"/>
      <c r="K745" s="11"/>
      <c r="L745" s="11"/>
      <c r="M745" s="11"/>
      <c r="N745" s="11"/>
      <c r="O745" s="11"/>
      <c r="P745" s="11"/>
    </row>
    <row r="746" spans="7:16" x14ac:dyDescent="0.3">
      <c r="G746" t="s">
        <v>790</v>
      </c>
      <c r="I746" s="12" t="s">
        <v>2223</v>
      </c>
      <c r="J746" s="18"/>
      <c r="K746" s="11"/>
      <c r="L746" s="11"/>
      <c r="M746" s="11"/>
      <c r="N746" s="11"/>
      <c r="O746" s="11"/>
      <c r="P746" s="11"/>
    </row>
    <row r="747" spans="7:16" x14ac:dyDescent="0.3">
      <c r="G747" t="s">
        <v>791</v>
      </c>
      <c r="I747" s="12" t="s">
        <v>2224</v>
      </c>
      <c r="J747" s="18"/>
      <c r="K747" s="11"/>
      <c r="L747" s="11"/>
      <c r="M747" s="11"/>
      <c r="N747" s="11"/>
      <c r="O747" s="11"/>
      <c r="P747" s="11"/>
    </row>
    <row r="748" spans="7:16" x14ac:dyDescent="0.3">
      <c r="G748" t="s">
        <v>792</v>
      </c>
      <c r="I748" s="12" t="s">
        <v>2225</v>
      </c>
      <c r="J748" s="18"/>
      <c r="K748" s="11"/>
      <c r="L748" s="11"/>
      <c r="M748" s="11"/>
      <c r="N748" s="11"/>
      <c r="O748" s="11"/>
      <c r="P748" s="11"/>
    </row>
    <row r="749" spans="7:16" x14ac:dyDescent="0.3">
      <c r="G749" t="s">
        <v>793</v>
      </c>
      <c r="I749" s="12" t="s">
        <v>2226</v>
      </c>
      <c r="J749" s="18"/>
      <c r="K749" s="11"/>
      <c r="L749" s="11"/>
      <c r="M749" s="11"/>
      <c r="N749" s="11"/>
      <c r="O749" s="11"/>
      <c r="P749" s="11"/>
    </row>
    <row r="750" spans="7:16" x14ac:dyDescent="0.3">
      <c r="G750" t="s">
        <v>794</v>
      </c>
      <c r="I750" s="12" t="s">
        <v>2227</v>
      </c>
      <c r="J750" s="18"/>
      <c r="K750" s="11"/>
      <c r="L750" s="11"/>
      <c r="M750" s="11"/>
      <c r="N750" s="11"/>
      <c r="O750" s="11"/>
      <c r="P750" s="11"/>
    </row>
    <row r="751" spans="7:16" x14ac:dyDescent="0.3">
      <c r="G751" t="s">
        <v>795</v>
      </c>
      <c r="I751" s="12" t="s">
        <v>2228</v>
      </c>
      <c r="J751" s="18"/>
      <c r="K751" s="11"/>
      <c r="L751" s="11"/>
      <c r="M751" s="11"/>
      <c r="N751" s="11"/>
      <c r="O751" s="11"/>
      <c r="P751" s="11"/>
    </row>
    <row r="752" spans="7:16" x14ac:dyDescent="0.3">
      <c r="G752" t="s">
        <v>796</v>
      </c>
      <c r="I752" s="12" t="s">
        <v>2229</v>
      </c>
      <c r="J752" s="18"/>
      <c r="K752" s="11"/>
      <c r="L752" s="11"/>
      <c r="M752" s="11"/>
      <c r="N752" s="11"/>
      <c r="O752" s="11"/>
      <c r="P752" s="11"/>
    </row>
    <row r="753" spans="7:16" x14ac:dyDescent="0.3">
      <c r="G753" t="s">
        <v>797</v>
      </c>
      <c r="I753" s="12" t="s">
        <v>2230</v>
      </c>
      <c r="J753" s="18"/>
      <c r="K753" s="11"/>
      <c r="L753" s="11"/>
      <c r="M753" s="11"/>
      <c r="N753" s="11"/>
      <c r="O753" s="11"/>
      <c r="P753" s="11"/>
    </row>
    <row r="754" spans="7:16" x14ac:dyDescent="0.3">
      <c r="G754" t="s">
        <v>798</v>
      </c>
      <c r="I754" s="12" t="s">
        <v>2231</v>
      </c>
      <c r="J754" s="18"/>
      <c r="K754" s="11"/>
      <c r="L754" s="11"/>
      <c r="M754" s="11"/>
      <c r="N754" s="11"/>
      <c r="O754" s="11"/>
      <c r="P754" s="11"/>
    </row>
    <row r="755" spans="7:16" x14ac:dyDescent="0.3">
      <c r="G755" t="s">
        <v>799</v>
      </c>
      <c r="I755" s="12" t="s">
        <v>2232</v>
      </c>
      <c r="J755" s="18"/>
      <c r="K755" s="11"/>
      <c r="L755" s="11"/>
      <c r="M755" s="11"/>
      <c r="N755" s="11"/>
      <c r="O755" s="11"/>
      <c r="P755" s="11"/>
    </row>
    <row r="756" spans="7:16" x14ac:dyDescent="0.3">
      <c r="G756" t="s">
        <v>800</v>
      </c>
      <c r="I756" s="12" t="s">
        <v>2233</v>
      </c>
      <c r="J756" s="18"/>
      <c r="K756" s="11"/>
      <c r="L756" s="11"/>
      <c r="M756" s="11"/>
      <c r="N756" s="11"/>
      <c r="O756" s="11"/>
      <c r="P756" s="11"/>
    </row>
    <row r="757" spans="7:16" x14ac:dyDescent="0.3">
      <c r="G757" t="s">
        <v>801</v>
      </c>
      <c r="I757" s="12" t="s">
        <v>2234</v>
      </c>
      <c r="J757" s="18"/>
      <c r="K757" s="11"/>
      <c r="L757" s="11"/>
      <c r="M757" s="11"/>
      <c r="N757" s="11"/>
      <c r="O757" s="11"/>
      <c r="P757" s="11"/>
    </row>
    <row r="758" spans="7:16" x14ac:dyDescent="0.3">
      <c r="G758" t="s">
        <v>802</v>
      </c>
      <c r="I758" s="12" t="s">
        <v>2235</v>
      </c>
      <c r="J758" s="18"/>
      <c r="K758" s="11"/>
      <c r="L758" s="11"/>
      <c r="M758" s="11"/>
      <c r="N758" s="11"/>
      <c r="O758" s="11"/>
      <c r="P758" s="11"/>
    </row>
    <row r="759" spans="7:16" x14ac:dyDescent="0.3">
      <c r="G759" t="s">
        <v>803</v>
      </c>
      <c r="I759" s="12" t="s">
        <v>2236</v>
      </c>
      <c r="J759" s="18"/>
      <c r="K759" s="11"/>
      <c r="L759" s="11"/>
      <c r="M759" s="11"/>
      <c r="N759" s="11"/>
      <c r="O759" s="11"/>
      <c r="P759" s="11"/>
    </row>
    <row r="760" spans="7:16" x14ac:dyDescent="0.3">
      <c r="G760" t="s">
        <v>804</v>
      </c>
      <c r="I760" s="12" t="s">
        <v>2237</v>
      </c>
      <c r="J760" s="18"/>
      <c r="K760" s="11"/>
      <c r="L760" s="11"/>
      <c r="M760" s="11"/>
      <c r="N760" s="11"/>
      <c r="O760" s="11"/>
      <c r="P760" s="11"/>
    </row>
    <row r="761" spans="7:16" x14ac:dyDescent="0.3">
      <c r="G761" t="s">
        <v>805</v>
      </c>
      <c r="I761" s="12" t="s">
        <v>2238</v>
      </c>
      <c r="J761" s="18"/>
      <c r="K761" s="11"/>
      <c r="L761" s="11"/>
      <c r="M761" s="11"/>
      <c r="N761" s="11"/>
      <c r="O761" s="11"/>
      <c r="P761" s="11"/>
    </row>
    <row r="762" spans="7:16" x14ac:dyDescent="0.3">
      <c r="G762" t="s">
        <v>806</v>
      </c>
      <c r="I762" s="12" t="s">
        <v>2239</v>
      </c>
      <c r="J762" s="18"/>
      <c r="K762" s="11"/>
      <c r="L762" s="11"/>
      <c r="M762" s="11"/>
      <c r="N762" s="11"/>
      <c r="O762" s="11"/>
      <c r="P762" s="11"/>
    </row>
    <row r="763" spans="7:16" x14ac:dyDescent="0.3">
      <c r="G763" t="s">
        <v>807</v>
      </c>
      <c r="I763" s="12" t="s">
        <v>2240</v>
      </c>
      <c r="J763" s="18"/>
      <c r="K763" s="11"/>
      <c r="L763" s="11"/>
      <c r="M763" s="11"/>
      <c r="N763" s="11"/>
      <c r="O763" s="11"/>
      <c r="P763" s="11"/>
    </row>
    <row r="764" spans="7:16" x14ac:dyDescent="0.3">
      <c r="G764" t="s">
        <v>808</v>
      </c>
      <c r="I764" s="12" t="s">
        <v>2241</v>
      </c>
      <c r="J764" s="18"/>
      <c r="K764" s="11"/>
      <c r="L764" s="11"/>
      <c r="M764" s="11"/>
      <c r="N764" s="11"/>
      <c r="O764" s="11"/>
      <c r="P764" s="11"/>
    </row>
    <row r="765" spans="7:16" x14ac:dyDescent="0.3">
      <c r="G765" t="s">
        <v>809</v>
      </c>
      <c r="I765" s="12" t="s">
        <v>2242</v>
      </c>
      <c r="J765" s="18"/>
      <c r="K765" s="11"/>
      <c r="L765" s="11"/>
      <c r="M765" s="11"/>
      <c r="N765" s="11"/>
      <c r="O765" s="11"/>
      <c r="P765" s="11"/>
    </row>
    <row r="766" spans="7:16" x14ac:dyDescent="0.3">
      <c r="G766" t="s">
        <v>810</v>
      </c>
      <c r="I766" s="12" t="s">
        <v>2243</v>
      </c>
      <c r="J766" s="18"/>
      <c r="K766" s="11"/>
      <c r="L766" s="11"/>
      <c r="M766" s="11"/>
      <c r="N766" s="11"/>
      <c r="O766" s="11"/>
      <c r="P766" s="11"/>
    </row>
    <row r="767" spans="7:16" x14ac:dyDescent="0.3">
      <c r="G767" t="s">
        <v>811</v>
      </c>
      <c r="I767" s="12" t="s">
        <v>2244</v>
      </c>
      <c r="J767" s="18"/>
      <c r="K767" s="11"/>
      <c r="L767" s="11"/>
      <c r="M767" s="11"/>
      <c r="N767" s="11"/>
      <c r="O767" s="11"/>
      <c r="P767" s="11"/>
    </row>
    <row r="768" spans="7:16" x14ac:dyDescent="0.3">
      <c r="G768" t="s">
        <v>812</v>
      </c>
      <c r="I768" s="12" t="s">
        <v>2245</v>
      </c>
      <c r="J768" s="18"/>
      <c r="K768" s="11"/>
      <c r="L768" s="11"/>
      <c r="M768" s="11"/>
      <c r="N768" s="11"/>
      <c r="O768" s="11"/>
      <c r="P768" s="11"/>
    </row>
    <row r="769" spans="7:16" x14ac:dyDescent="0.3">
      <c r="G769" t="s">
        <v>813</v>
      </c>
      <c r="I769" s="12" t="s">
        <v>2246</v>
      </c>
      <c r="J769" s="18"/>
      <c r="K769" s="11"/>
      <c r="L769" s="11"/>
      <c r="M769" s="11"/>
      <c r="N769" s="11"/>
      <c r="O769" s="11"/>
      <c r="P769" s="11"/>
    </row>
    <row r="770" spans="7:16" x14ac:dyDescent="0.3">
      <c r="G770" t="s">
        <v>814</v>
      </c>
      <c r="I770" s="12" t="s">
        <v>2247</v>
      </c>
      <c r="J770" s="18"/>
      <c r="K770" s="11"/>
      <c r="L770" s="11"/>
      <c r="M770" s="11"/>
      <c r="N770" s="11"/>
      <c r="O770" s="11"/>
      <c r="P770" s="11"/>
    </row>
    <row r="771" spans="7:16" x14ac:dyDescent="0.3">
      <c r="G771" t="s">
        <v>815</v>
      </c>
      <c r="I771" s="12" t="s">
        <v>2248</v>
      </c>
      <c r="J771" s="18"/>
      <c r="K771" s="11"/>
      <c r="L771" s="11"/>
      <c r="M771" s="11"/>
      <c r="N771" s="11"/>
      <c r="O771" s="11"/>
      <c r="P771" s="11"/>
    </row>
    <row r="772" spans="7:16" x14ac:dyDescent="0.3">
      <c r="G772" t="s">
        <v>816</v>
      </c>
      <c r="I772" s="12" t="s">
        <v>2249</v>
      </c>
      <c r="J772" s="18"/>
      <c r="K772" s="11"/>
      <c r="L772" s="11"/>
      <c r="M772" s="11"/>
      <c r="N772" s="11"/>
      <c r="O772" s="11"/>
      <c r="P772" s="11"/>
    </row>
    <row r="773" spans="7:16" x14ac:dyDescent="0.3">
      <c r="G773" t="s">
        <v>817</v>
      </c>
      <c r="I773" s="12" t="s">
        <v>2250</v>
      </c>
      <c r="J773" s="18"/>
      <c r="K773" s="11"/>
      <c r="L773" s="11"/>
      <c r="M773" s="11"/>
      <c r="N773" s="11"/>
      <c r="O773" s="11"/>
      <c r="P773" s="11"/>
    </row>
    <row r="774" spans="7:16" x14ac:dyDescent="0.3">
      <c r="G774" t="s">
        <v>818</v>
      </c>
      <c r="I774" s="12" t="s">
        <v>2251</v>
      </c>
      <c r="J774" s="18"/>
      <c r="K774" s="11"/>
      <c r="L774" s="11"/>
      <c r="M774" s="11"/>
      <c r="N774" s="11"/>
      <c r="O774" s="11"/>
      <c r="P774" s="11"/>
    </row>
    <row r="775" spans="7:16" x14ac:dyDescent="0.3">
      <c r="G775" t="s">
        <v>819</v>
      </c>
      <c r="I775" s="12" t="s">
        <v>2252</v>
      </c>
      <c r="J775" s="18"/>
      <c r="K775" s="11"/>
      <c r="L775" s="11"/>
      <c r="M775" s="11"/>
      <c r="N775" s="11"/>
      <c r="O775" s="11"/>
      <c r="P775" s="11"/>
    </row>
    <row r="776" spans="7:16" x14ac:dyDescent="0.3">
      <c r="G776" t="s">
        <v>820</v>
      </c>
      <c r="I776" s="12" t="s">
        <v>2253</v>
      </c>
      <c r="J776" s="18"/>
      <c r="K776" s="11"/>
      <c r="L776" s="11"/>
      <c r="M776" s="11"/>
      <c r="N776" s="11"/>
      <c r="O776" s="11"/>
      <c r="P776" s="11"/>
    </row>
    <row r="777" spans="7:16" x14ac:dyDescent="0.3">
      <c r="G777" t="s">
        <v>821</v>
      </c>
      <c r="I777" s="12" t="s">
        <v>2254</v>
      </c>
      <c r="J777" s="18"/>
      <c r="K777" s="11"/>
      <c r="L777" s="11"/>
      <c r="M777" s="11"/>
      <c r="N777" s="11"/>
      <c r="O777" s="11"/>
      <c r="P777" s="11"/>
    </row>
    <row r="778" spans="7:16" x14ac:dyDescent="0.3">
      <c r="G778" t="s">
        <v>822</v>
      </c>
      <c r="I778" s="12" t="s">
        <v>2255</v>
      </c>
      <c r="J778" s="18"/>
      <c r="K778" s="11"/>
      <c r="L778" s="11"/>
      <c r="M778" s="11"/>
      <c r="N778" s="11"/>
      <c r="O778" s="11"/>
      <c r="P778" s="11"/>
    </row>
    <row r="779" spans="7:16" x14ac:dyDescent="0.3">
      <c r="G779" t="s">
        <v>823</v>
      </c>
      <c r="I779" s="12" t="s">
        <v>2256</v>
      </c>
      <c r="J779" s="18"/>
      <c r="K779" s="11"/>
      <c r="L779" s="11"/>
      <c r="M779" s="11"/>
      <c r="N779" s="11"/>
      <c r="O779" s="11"/>
      <c r="P779" s="11"/>
    </row>
    <row r="780" spans="7:16" x14ac:dyDescent="0.3">
      <c r="G780" t="s">
        <v>824</v>
      </c>
      <c r="I780" s="12" t="s">
        <v>2257</v>
      </c>
      <c r="J780" s="18"/>
      <c r="K780" s="11"/>
      <c r="L780" s="11"/>
      <c r="M780" s="11"/>
      <c r="N780" s="11"/>
      <c r="O780" s="11"/>
      <c r="P780" s="11"/>
    </row>
    <row r="781" spans="7:16" x14ac:dyDescent="0.3">
      <c r="G781" t="s">
        <v>825</v>
      </c>
      <c r="I781" s="12" t="s">
        <v>2258</v>
      </c>
      <c r="J781" s="18"/>
      <c r="K781" s="11"/>
      <c r="L781" s="11"/>
      <c r="M781" s="11"/>
      <c r="N781" s="11"/>
      <c r="O781" s="11"/>
      <c r="P781" s="11"/>
    </row>
    <row r="782" spans="7:16" x14ac:dyDescent="0.3">
      <c r="G782" t="s">
        <v>826</v>
      </c>
      <c r="I782" s="12" t="s">
        <v>2259</v>
      </c>
      <c r="J782" s="18"/>
      <c r="K782" s="11"/>
      <c r="L782" s="11"/>
      <c r="M782" s="11"/>
      <c r="N782" s="11"/>
      <c r="O782" s="11"/>
      <c r="P782" s="11"/>
    </row>
    <row r="783" spans="7:16" x14ac:dyDescent="0.3">
      <c r="G783" t="s">
        <v>827</v>
      </c>
      <c r="I783" s="12" t="s">
        <v>2260</v>
      </c>
      <c r="J783" s="18"/>
      <c r="K783" s="11"/>
      <c r="L783" s="11"/>
      <c r="M783" s="11"/>
      <c r="N783" s="11"/>
      <c r="O783" s="11"/>
      <c r="P783" s="11"/>
    </row>
    <row r="784" spans="7:16" x14ac:dyDescent="0.3">
      <c r="G784" t="s">
        <v>828</v>
      </c>
      <c r="I784" s="12" t="s">
        <v>2261</v>
      </c>
      <c r="J784" s="18"/>
      <c r="K784" s="11"/>
      <c r="L784" s="11"/>
      <c r="M784" s="11"/>
      <c r="N784" s="11"/>
      <c r="O784" s="11"/>
      <c r="P784" s="11"/>
    </row>
    <row r="785" spans="9:16" x14ac:dyDescent="0.3">
      <c r="I785" s="12" t="s">
        <v>2262</v>
      </c>
      <c r="J785" s="18"/>
      <c r="K785" s="11"/>
      <c r="L785" s="11"/>
      <c r="M785" s="11"/>
      <c r="N785" s="11"/>
      <c r="O785" s="11"/>
      <c r="P785" s="11"/>
    </row>
    <row r="786" spans="9:16" x14ac:dyDescent="0.3">
      <c r="I786" s="12" t="s">
        <v>2263</v>
      </c>
      <c r="J786" s="18"/>
      <c r="K786" s="11"/>
      <c r="L786" s="11"/>
      <c r="M786" s="11"/>
      <c r="N786" s="11"/>
      <c r="O786" s="11"/>
      <c r="P786" s="11"/>
    </row>
    <row r="787" spans="9:16" x14ac:dyDescent="0.3">
      <c r="I787" s="12" t="s">
        <v>2264</v>
      </c>
      <c r="J787" s="18"/>
      <c r="K787" s="11"/>
      <c r="L787" s="11"/>
      <c r="M787" s="11"/>
      <c r="N787" s="11"/>
      <c r="O787" s="11"/>
      <c r="P787" s="11"/>
    </row>
    <row r="788" spans="9:16" x14ac:dyDescent="0.3">
      <c r="I788" s="12" t="s">
        <v>2265</v>
      </c>
      <c r="J788" s="18"/>
      <c r="K788" s="11"/>
      <c r="L788" s="11"/>
      <c r="M788" s="11"/>
      <c r="N788" s="11"/>
      <c r="O788" s="11"/>
      <c r="P788" s="11"/>
    </row>
    <row r="789" spans="9:16" x14ac:dyDescent="0.3">
      <c r="I789" s="12" t="s">
        <v>2266</v>
      </c>
      <c r="J789" s="18"/>
      <c r="K789" s="11"/>
      <c r="L789" s="11"/>
      <c r="M789" s="11"/>
      <c r="N789" s="11"/>
      <c r="O789" s="11"/>
      <c r="P789" s="11"/>
    </row>
    <row r="790" spans="9:16" x14ac:dyDescent="0.3">
      <c r="I790" s="12" t="s">
        <v>2267</v>
      </c>
      <c r="J790" s="18"/>
      <c r="K790" s="11"/>
      <c r="L790" s="11"/>
      <c r="M790" s="11"/>
      <c r="N790" s="11"/>
      <c r="O790" s="11"/>
      <c r="P790" s="11"/>
    </row>
    <row r="791" spans="9:16" x14ac:dyDescent="0.3">
      <c r="I791" s="12" t="s">
        <v>2268</v>
      </c>
      <c r="J791" s="18"/>
      <c r="K791" s="11"/>
      <c r="L791" s="11"/>
      <c r="M791" s="11"/>
      <c r="N791" s="11"/>
      <c r="O791" s="11"/>
      <c r="P791" s="11"/>
    </row>
    <row r="792" spans="9:16" x14ac:dyDescent="0.3">
      <c r="I792" s="12" t="s">
        <v>2269</v>
      </c>
      <c r="J792" s="18"/>
      <c r="K792" s="11"/>
      <c r="L792" s="11"/>
      <c r="M792" s="11"/>
      <c r="N792" s="11"/>
      <c r="O792" s="11"/>
      <c r="P792" s="11"/>
    </row>
    <row r="793" spans="9:16" x14ac:dyDescent="0.3">
      <c r="I793" s="12" t="s">
        <v>2270</v>
      </c>
      <c r="J793" s="18"/>
      <c r="K793" s="11"/>
      <c r="L793" s="11"/>
      <c r="M793" s="11"/>
      <c r="N793" s="11"/>
      <c r="O793" s="11"/>
      <c r="P793" s="11"/>
    </row>
    <row r="794" spans="9:16" x14ac:dyDescent="0.3">
      <c r="I794" s="12" t="s">
        <v>2271</v>
      </c>
      <c r="J794" s="18"/>
      <c r="K794" s="11"/>
      <c r="L794" s="11"/>
      <c r="M794" s="11"/>
      <c r="N794" s="11"/>
      <c r="O794" s="11"/>
      <c r="P794" s="11"/>
    </row>
    <row r="795" spans="9:16" x14ac:dyDescent="0.3">
      <c r="I795" s="12" t="s">
        <v>2272</v>
      </c>
      <c r="J795" s="18"/>
      <c r="K795" s="11"/>
      <c r="L795" s="11"/>
      <c r="M795" s="11"/>
      <c r="N795" s="11"/>
      <c r="O795" s="11"/>
      <c r="P795" s="11"/>
    </row>
    <row r="796" spans="9:16" x14ac:dyDescent="0.3">
      <c r="I796" s="12" t="s">
        <v>2273</v>
      </c>
      <c r="J796" s="18"/>
      <c r="K796" s="11"/>
      <c r="L796" s="11"/>
      <c r="M796" s="11"/>
      <c r="N796" s="11"/>
      <c r="O796" s="11"/>
      <c r="P796" s="11"/>
    </row>
    <row r="797" spans="9:16" x14ac:dyDescent="0.3">
      <c r="I797" s="12" t="s">
        <v>2274</v>
      </c>
      <c r="J797" s="18"/>
      <c r="K797" s="11"/>
      <c r="L797" s="11"/>
      <c r="M797" s="11"/>
      <c r="N797" s="11"/>
      <c r="O797" s="11"/>
      <c r="P797" s="11"/>
    </row>
    <row r="798" spans="9:16" x14ac:dyDescent="0.3">
      <c r="I798" s="12" t="s">
        <v>2275</v>
      </c>
      <c r="J798" s="18"/>
      <c r="K798" s="11"/>
      <c r="L798" s="11"/>
      <c r="M798" s="11"/>
      <c r="N798" s="11"/>
      <c r="O798" s="11"/>
      <c r="P798" s="11"/>
    </row>
    <row r="799" spans="9:16" x14ac:dyDescent="0.3">
      <c r="I799" s="12" t="s">
        <v>2276</v>
      </c>
      <c r="J799" s="18"/>
      <c r="K799" s="11"/>
      <c r="L799" s="11"/>
      <c r="M799" s="11"/>
      <c r="N799" s="11"/>
      <c r="O799" s="11"/>
      <c r="P799" s="11"/>
    </row>
    <row r="800" spans="9:16" x14ac:dyDescent="0.3">
      <c r="I800" s="12" t="s">
        <v>2277</v>
      </c>
      <c r="J800" s="18"/>
      <c r="K800" s="11"/>
      <c r="L800" s="11"/>
      <c r="M800" s="11"/>
      <c r="N800" s="11"/>
      <c r="O800" s="11"/>
      <c r="P800" s="11"/>
    </row>
    <row r="801" spans="9:16" x14ac:dyDescent="0.3">
      <c r="I801" s="12" t="s">
        <v>2278</v>
      </c>
      <c r="J801" s="18"/>
      <c r="K801" s="11"/>
      <c r="L801" s="11"/>
      <c r="M801" s="11"/>
      <c r="N801" s="11"/>
      <c r="O801" s="11"/>
      <c r="P801" s="11"/>
    </row>
    <row r="802" spans="9:16" x14ac:dyDescent="0.3">
      <c r="I802" s="12" t="s">
        <v>2279</v>
      </c>
      <c r="J802" s="18"/>
      <c r="K802" s="11"/>
      <c r="L802" s="11"/>
      <c r="M802" s="11"/>
      <c r="N802" s="11"/>
      <c r="O802" s="11"/>
      <c r="P802" s="11"/>
    </row>
    <row r="803" spans="9:16" x14ac:dyDescent="0.3">
      <c r="I803" s="12" t="s">
        <v>2280</v>
      </c>
      <c r="J803" s="18"/>
      <c r="K803" s="11"/>
      <c r="L803" s="11"/>
      <c r="M803" s="11"/>
      <c r="N803" s="11"/>
      <c r="O803" s="11"/>
      <c r="P803" s="11"/>
    </row>
    <row r="804" spans="9:16" x14ac:dyDescent="0.3">
      <c r="I804" s="12" t="s">
        <v>2281</v>
      </c>
      <c r="J804" s="18"/>
      <c r="K804" s="11"/>
      <c r="L804" s="11"/>
      <c r="M804" s="11"/>
      <c r="N804" s="11"/>
      <c r="O804" s="11"/>
      <c r="P804" s="11"/>
    </row>
    <row r="805" spans="9:16" x14ac:dyDescent="0.3">
      <c r="I805" s="12" t="s">
        <v>2282</v>
      </c>
      <c r="J805" s="18"/>
      <c r="K805" s="11"/>
      <c r="L805" s="11"/>
      <c r="M805" s="11"/>
      <c r="N805" s="11"/>
      <c r="O805" s="11"/>
      <c r="P805" s="11"/>
    </row>
    <row r="806" spans="9:16" x14ac:dyDescent="0.3">
      <c r="I806" s="12" t="s">
        <v>2283</v>
      </c>
      <c r="J806" s="18"/>
      <c r="K806" s="11"/>
      <c r="L806" s="11"/>
      <c r="M806" s="11"/>
      <c r="N806" s="11"/>
      <c r="O806" s="11"/>
      <c r="P806" s="11"/>
    </row>
    <row r="807" spans="9:16" x14ac:dyDescent="0.3">
      <c r="I807" s="12" t="s">
        <v>2284</v>
      </c>
      <c r="J807" s="18"/>
      <c r="K807" s="11"/>
      <c r="L807" s="11"/>
      <c r="M807" s="11"/>
      <c r="N807" s="11"/>
      <c r="O807" s="11"/>
      <c r="P807" s="11"/>
    </row>
    <row r="808" spans="9:16" x14ac:dyDescent="0.3">
      <c r="I808" s="12" t="s">
        <v>2285</v>
      </c>
      <c r="J808" s="18"/>
      <c r="K808" s="11"/>
      <c r="L808" s="11"/>
      <c r="M808" s="11"/>
      <c r="N808" s="11"/>
      <c r="O808" s="11"/>
      <c r="P808" s="11"/>
    </row>
    <row r="809" spans="9:16" x14ac:dyDescent="0.3">
      <c r="I809" s="12" t="s">
        <v>2286</v>
      </c>
      <c r="J809" s="18"/>
      <c r="K809" s="11"/>
      <c r="L809" s="11"/>
      <c r="M809" s="11"/>
      <c r="N809" s="11"/>
      <c r="O809" s="11"/>
      <c r="P809" s="11"/>
    </row>
    <row r="810" spans="9:16" x14ac:dyDescent="0.3">
      <c r="I810" s="12" t="s">
        <v>2287</v>
      </c>
      <c r="J810" s="18"/>
      <c r="K810" s="11"/>
      <c r="L810" s="11"/>
      <c r="M810" s="11"/>
      <c r="N810" s="11"/>
      <c r="O810" s="11"/>
      <c r="P810" s="11"/>
    </row>
    <row r="811" spans="9:16" x14ac:dyDescent="0.3">
      <c r="I811" s="12" t="s">
        <v>2288</v>
      </c>
      <c r="J811" s="18"/>
      <c r="K811" s="11"/>
      <c r="L811" s="11"/>
      <c r="M811" s="11"/>
      <c r="N811" s="11"/>
      <c r="O811" s="11"/>
      <c r="P811" s="11"/>
    </row>
    <row r="812" spans="9:16" x14ac:dyDescent="0.3">
      <c r="I812" s="12" t="s">
        <v>2289</v>
      </c>
      <c r="J812" s="18"/>
      <c r="K812" s="11"/>
      <c r="L812" s="11"/>
      <c r="M812" s="11"/>
      <c r="N812" s="11"/>
      <c r="O812" s="11"/>
      <c r="P812" s="11"/>
    </row>
    <row r="813" spans="9:16" x14ac:dyDescent="0.3">
      <c r="I813" s="12" t="s">
        <v>2290</v>
      </c>
      <c r="J813" s="18"/>
      <c r="K813" s="11"/>
      <c r="L813" s="11"/>
      <c r="M813" s="11"/>
      <c r="N813" s="11"/>
      <c r="O813" s="11"/>
      <c r="P813" s="11"/>
    </row>
    <row r="814" spans="9:16" x14ac:dyDescent="0.3">
      <c r="I814" s="12" t="s">
        <v>2291</v>
      </c>
      <c r="J814" s="18"/>
      <c r="K814" s="11"/>
      <c r="L814" s="11"/>
      <c r="M814" s="11"/>
      <c r="N814" s="11"/>
      <c r="O814" s="11"/>
      <c r="P814" s="11"/>
    </row>
    <row r="815" spans="9:16" x14ac:dyDescent="0.3">
      <c r="I815" s="12" t="s">
        <v>2292</v>
      </c>
      <c r="J815" s="18"/>
      <c r="K815" s="11"/>
      <c r="L815" s="11"/>
      <c r="M815" s="11"/>
      <c r="N815" s="11"/>
      <c r="O815" s="11"/>
      <c r="P815" s="11"/>
    </row>
    <row r="816" spans="9:16" x14ac:dyDescent="0.3">
      <c r="I816" s="12" t="s">
        <v>2293</v>
      </c>
      <c r="J816" s="18"/>
      <c r="K816" s="11"/>
      <c r="L816" s="11"/>
      <c r="M816" s="11"/>
      <c r="N816" s="11"/>
      <c r="O816" s="11"/>
      <c r="P816" s="11"/>
    </row>
    <row r="817" spans="9:16" x14ac:dyDescent="0.3">
      <c r="I817" s="12" t="s">
        <v>2294</v>
      </c>
      <c r="J817" s="18"/>
      <c r="K817" s="11"/>
      <c r="L817" s="11"/>
      <c r="M817" s="11"/>
      <c r="N817" s="11"/>
      <c r="O817" s="11"/>
      <c r="P817" s="11"/>
    </row>
    <row r="818" spans="9:16" x14ac:dyDescent="0.3">
      <c r="I818" s="12" t="s">
        <v>2295</v>
      </c>
      <c r="J818" s="18"/>
      <c r="K818" s="11"/>
      <c r="L818" s="11"/>
      <c r="M818" s="11"/>
      <c r="N818" s="11"/>
      <c r="O818" s="11"/>
      <c r="P818" s="11"/>
    </row>
    <row r="819" spans="9:16" x14ac:dyDescent="0.3">
      <c r="I819" s="12" t="s">
        <v>2296</v>
      </c>
      <c r="J819" s="18"/>
      <c r="K819" s="11"/>
      <c r="L819" s="11"/>
      <c r="M819" s="11"/>
      <c r="N819" s="11"/>
      <c r="O819" s="11"/>
      <c r="P819" s="11"/>
    </row>
    <row r="820" spans="9:16" x14ac:dyDescent="0.3">
      <c r="I820" s="12" t="s">
        <v>2297</v>
      </c>
      <c r="J820" s="18"/>
      <c r="K820" s="11"/>
      <c r="L820" s="11"/>
      <c r="M820" s="11"/>
      <c r="N820" s="11"/>
      <c r="O820" s="11"/>
      <c r="P820" s="11"/>
    </row>
    <row r="821" spans="9:16" x14ac:dyDescent="0.3">
      <c r="I821" s="12" t="s">
        <v>2298</v>
      </c>
      <c r="J821" s="18"/>
      <c r="K821" s="11"/>
      <c r="L821" s="11"/>
      <c r="M821" s="11"/>
      <c r="N821" s="11"/>
      <c r="O821" s="11"/>
      <c r="P821" s="11"/>
    </row>
    <row r="822" spans="9:16" x14ac:dyDescent="0.3">
      <c r="I822" s="12" t="s">
        <v>2299</v>
      </c>
      <c r="J822" s="18"/>
      <c r="K822" s="11"/>
      <c r="L822" s="11"/>
      <c r="M822" s="11"/>
      <c r="N822" s="11"/>
      <c r="O822" s="11"/>
      <c r="P822" s="11"/>
    </row>
    <row r="823" spans="9:16" x14ac:dyDescent="0.3">
      <c r="I823" s="12" t="s">
        <v>2300</v>
      </c>
      <c r="J823" s="18"/>
      <c r="K823" s="11"/>
      <c r="L823" s="11"/>
      <c r="M823" s="11"/>
      <c r="N823" s="11"/>
      <c r="O823" s="11"/>
      <c r="P823" s="11"/>
    </row>
    <row r="824" spans="9:16" x14ac:dyDescent="0.3">
      <c r="I824" s="12" t="s">
        <v>2301</v>
      </c>
      <c r="J824" s="18"/>
      <c r="K824" s="11"/>
      <c r="L824" s="11"/>
      <c r="M824" s="11"/>
      <c r="N824" s="11"/>
      <c r="O824" s="11"/>
      <c r="P824" s="11"/>
    </row>
    <row r="825" spans="9:16" x14ac:dyDescent="0.3">
      <c r="I825" s="12" t="s">
        <v>2302</v>
      </c>
      <c r="J825" s="18"/>
      <c r="K825" s="11"/>
      <c r="L825" s="11"/>
      <c r="M825" s="11"/>
      <c r="N825" s="11"/>
      <c r="O825" s="11"/>
      <c r="P825" s="11"/>
    </row>
    <row r="826" spans="9:16" x14ac:dyDescent="0.3">
      <c r="I826" s="12" t="s">
        <v>2303</v>
      </c>
      <c r="J826" s="18"/>
      <c r="K826" s="11"/>
      <c r="L826" s="11"/>
      <c r="M826" s="11"/>
      <c r="N826" s="11"/>
      <c r="O826" s="11"/>
      <c r="P826" s="11"/>
    </row>
    <row r="827" spans="9:16" x14ac:dyDescent="0.3">
      <c r="I827" s="12" t="s">
        <v>2304</v>
      </c>
      <c r="J827" s="18"/>
      <c r="K827" s="11"/>
      <c r="L827" s="11"/>
      <c r="M827" s="11"/>
      <c r="N827" s="11"/>
      <c r="O827" s="11"/>
      <c r="P827" s="11"/>
    </row>
    <row r="828" spans="9:16" x14ac:dyDescent="0.3">
      <c r="I828" s="12" t="s">
        <v>2305</v>
      </c>
      <c r="J828" s="18"/>
      <c r="K828" s="11"/>
      <c r="L828" s="11"/>
      <c r="M828" s="11"/>
      <c r="N828" s="11"/>
      <c r="O828" s="11"/>
      <c r="P828" s="11"/>
    </row>
    <row r="829" spans="9:16" x14ac:dyDescent="0.3">
      <c r="I829" s="12" t="s">
        <v>2306</v>
      </c>
      <c r="J829" s="18"/>
      <c r="K829" s="11"/>
      <c r="L829" s="11"/>
      <c r="M829" s="11"/>
      <c r="N829" s="11"/>
      <c r="O829" s="11"/>
      <c r="P829" s="11"/>
    </row>
    <row r="830" spans="9:16" x14ac:dyDescent="0.3">
      <c r="I830" s="12" t="s">
        <v>2307</v>
      </c>
      <c r="J830" s="18"/>
      <c r="K830" s="11"/>
      <c r="L830" s="11"/>
      <c r="M830" s="11"/>
      <c r="N830" s="11"/>
      <c r="O830" s="11"/>
      <c r="P830" s="11"/>
    </row>
    <row r="831" spans="9:16" x14ac:dyDescent="0.3">
      <c r="I831" s="12" t="s">
        <v>2308</v>
      </c>
      <c r="J831" s="18"/>
      <c r="K831" s="11"/>
      <c r="L831" s="11"/>
      <c r="M831" s="11"/>
      <c r="N831" s="11"/>
      <c r="O831" s="11"/>
      <c r="P831" s="11"/>
    </row>
    <row r="832" spans="9:16" x14ac:dyDescent="0.3">
      <c r="I832" s="12" t="s">
        <v>2309</v>
      </c>
      <c r="J832" s="18"/>
      <c r="K832" s="11"/>
      <c r="L832" s="11"/>
      <c r="M832" s="11"/>
      <c r="N832" s="11"/>
      <c r="O832" s="11"/>
      <c r="P832" s="11"/>
    </row>
    <row r="833" spans="9:16" x14ac:dyDescent="0.3">
      <c r="I833" s="12" t="s">
        <v>2310</v>
      </c>
      <c r="J833" s="18"/>
      <c r="K833" s="11"/>
      <c r="L833" s="11"/>
      <c r="M833" s="11"/>
      <c r="N833" s="11"/>
      <c r="O833" s="11"/>
      <c r="P833" s="11"/>
    </row>
    <row r="834" spans="9:16" x14ac:dyDescent="0.3">
      <c r="I834" s="12" t="s">
        <v>2311</v>
      </c>
      <c r="J834" s="18"/>
      <c r="K834" s="11"/>
      <c r="L834" s="11"/>
      <c r="M834" s="11"/>
      <c r="N834" s="11"/>
      <c r="O834" s="11"/>
      <c r="P834" s="11"/>
    </row>
    <row r="835" spans="9:16" x14ac:dyDescent="0.3">
      <c r="I835" s="12" t="s">
        <v>2312</v>
      </c>
      <c r="J835" s="18"/>
      <c r="K835" s="11"/>
      <c r="L835" s="11"/>
      <c r="M835" s="11"/>
      <c r="N835" s="11"/>
      <c r="O835" s="11"/>
      <c r="P835" s="11"/>
    </row>
    <row r="836" spans="9:16" x14ac:dyDescent="0.3">
      <c r="I836" s="12" t="s">
        <v>2313</v>
      </c>
      <c r="J836" s="18"/>
      <c r="K836" s="11"/>
      <c r="L836" s="11"/>
      <c r="M836" s="11"/>
      <c r="N836" s="11"/>
      <c r="O836" s="11"/>
      <c r="P836" s="11"/>
    </row>
    <row r="837" spans="9:16" x14ac:dyDescent="0.3">
      <c r="I837" s="12" t="s">
        <v>2314</v>
      </c>
      <c r="J837" s="18"/>
      <c r="K837" s="11"/>
      <c r="L837" s="11"/>
      <c r="M837" s="11"/>
      <c r="N837" s="11"/>
      <c r="O837" s="11"/>
      <c r="P837" s="11"/>
    </row>
    <row r="838" spans="9:16" x14ac:dyDescent="0.3">
      <c r="I838" s="12" t="s">
        <v>2315</v>
      </c>
      <c r="J838" s="18"/>
      <c r="K838" s="11"/>
      <c r="L838" s="11"/>
      <c r="M838" s="11"/>
      <c r="N838" s="11"/>
      <c r="O838" s="11"/>
      <c r="P838" s="11"/>
    </row>
    <row r="839" spans="9:16" x14ac:dyDescent="0.3">
      <c r="I839" s="12" t="s">
        <v>2316</v>
      </c>
      <c r="J839" s="18"/>
      <c r="K839" s="11"/>
      <c r="L839" s="11"/>
      <c r="M839" s="11"/>
      <c r="N839" s="11"/>
      <c r="O839" s="11"/>
      <c r="P839" s="11"/>
    </row>
    <row r="840" spans="9:16" x14ac:dyDescent="0.3">
      <c r="I840" s="12" t="s">
        <v>2317</v>
      </c>
      <c r="J840" s="18"/>
      <c r="K840" s="11"/>
      <c r="L840" s="11"/>
      <c r="M840" s="11"/>
      <c r="N840" s="11"/>
      <c r="O840" s="11"/>
      <c r="P840" s="11"/>
    </row>
    <row r="841" spans="9:16" x14ac:dyDescent="0.3">
      <c r="I841" s="12" t="s">
        <v>2318</v>
      </c>
      <c r="J841" s="18"/>
      <c r="K841" s="11"/>
      <c r="L841" s="11"/>
      <c r="M841" s="11"/>
      <c r="N841" s="11"/>
      <c r="O841" s="11"/>
      <c r="P841" s="11"/>
    </row>
    <row r="842" spans="9:16" x14ac:dyDescent="0.3">
      <c r="I842" s="12" t="s">
        <v>2319</v>
      </c>
      <c r="J842" s="18"/>
      <c r="K842" s="11"/>
      <c r="L842" s="11"/>
      <c r="M842" s="11"/>
      <c r="N842" s="11"/>
      <c r="O842" s="11"/>
      <c r="P842" s="11"/>
    </row>
    <row r="843" spans="9:16" x14ac:dyDescent="0.3">
      <c r="I843" s="12" t="s">
        <v>2320</v>
      </c>
      <c r="J843" s="18"/>
      <c r="K843" s="11"/>
      <c r="L843" s="11"/>
      <c r="M843" s="11"/>
      <c r="N843" s="11"/>
      <c r="O843" s="11"/>
      <c r="P843" s="11"/>
    </row>
    <row r="844" spans="9:16" x14ac:dyDescent="0.3">
      <c r="I844" s="12" t="s">
        <v>2321</v>
      </c>
      <c r="J844" s="18"/>
      <c r="K844" s="11"/>
      <c r="L844" s="11"/>
      <c r="M844" s="11"/>
      <c r="N844" s="11"/>
      <c r="O844" s="11"/>
      <c r="P844" s="11"/>
    </row>
    <row r="845" spans="9:16" x14ac:dyDescent="0.3">
      <c r="I845" s="12" t="s">
        <v>2322</v>
      </c>
      <c r="J845" s="18"/>
      <c r="K845" s="11"/>
      <c r="L845" s="11"/>
      <c r="M845" s="11"/>
      <c r="N845" s="11"/>
      <c r="O845" s="11"/>
      <c r="P845" s="11"/>
    </row>
    <row r="846" spans="9:16" x14ac:dyDescent="0.3">
      <c r="I846" s="12" t="s">
        <v>2323</v>
      </c>
      <c r="J846" s="18"/>
      <c r="K846" s="11"/>
      <c r="L846" s="11"/>
      <c r="M846" s="11"/>
      <c r="N846" s="11"/>
      <c r="O846" s="11"/>
      <c r="P846" s="11"/>
    </row>
    <row r="847" spans="9:16" x14ac:dyDescent="0.3">
      <c r="I847" s="12" t="s">
        <v>2324</v>
      </c>
      <c r="J847" s="18"/>
      <c r="K847" s="11"/>
      <c r="L847" s="11"/>
      <c r="M847" s="11"/>
      <c r="N847" s="11"/>
      <c r="O847" s="11"/>
      <c r="P847" s="11"/>
    </row>
    <row r="848" spans="9:16" x14ac:dyDescent="0.3">
      <c r="I848" s="12" t="s">
        <v>2325</v>
      </c>
      <c r="J848" s="18"/>
      <c r="K848" s="11"/>
      <c r="L848" s="11"/>
      <c r="M848" s="11"/>
      <c r="N848" s="11"/>
      <c r="O848" s="11"/>
      <c r="P848" s="11"/>
    </row>
    <row r="849" spans="9:16" x14ac:dyDescent="0.3">
      <c r="I849" s="12" t="s">
        <v>2326</v>
      </c>
      <c r="J849" s="18"/>
      <c r="K849" s="11"/>
      <c r="L849" s="11"/>
      <c r="M849" s="11"/>
      <c r="N849" s="11"/>
      <c r="O849" s="11"/>
      <c r="P849" s="11"/>
    </row>
    <row r="850" spans="9:16" x14ac:dyDescent="0.3">
      <c r="I850" s="12" t="s">
        <v>2327</v>
      </c>
      <c r="J850" s="18"/>
      <c r="K850" s="11"/>
      <c r="L850" s="11"/>
      <c r="M850" s="11"/>
      <c r="N850" s="11"/>
      <c r="O850" s="11"/>
      <c r="P850" s="11"/>
    </row>
    <row r="851" spans="9:16" x14ac:dyDescent="0.3">
      <c r="I851" s="12" t="s">
        <v>2328</v>
      </c>
      <c r="J851" s="18"/>
      <c r="K851" s="11"/>
      <c r="L851" s="11"/>
      <c r="M851" s="11"/>
      <c r="N851" s="11"/>
      <c r="O851" s="11"/>
      <c r="P851" s="11"/>
    </row>
    <row r="852" spans="9:16" x14ac:dyDescent="0.3">
      <c r="I852" s="12" t="s">
        <v>2329</v>
      </c>
      <c r="J852" s="18"/>
      <c r="K852" s="11"/>
      <c r="L852" s="11"/>
      <c r="M852" s="11"/>
      <c r="N852" s="11"/>
      <c r="O852" s="11"/>
      <c r="P852" s="11"/>
    </row>
    <row r="853" spans="9:16" x14ac:dyDescent="0.3">
      <c r="I853" s="12" t="s">
        <v>2330</v>
      </c>
      <c r="J853" s="18"/>
      <c r="K853" s="11"/>
      <c r="L853" s="11"/>
      <c r="M853" s="11"/>
      <c r="N853" s="11"/>
      <c r="O853" s="11"/>
      <c r="P853" s="11"/>
    </row>
    <row r="854" spans="9:16" x14ac:dyDescent="0.3">
      <c r="I854" s="12" t="s">
        <v>2331</v>
      </c>
      <c r="J854" s="18"/>
      <c r="K854" s="11"/>
      <c r="L854" s="11"/>
      <c r="M854" s="11"/>
      <c r="N854" s="11"/>
      <c r="O854" s="11"/>
      <c r="P854" s="11"/>
    </row>
    <row r="855" spans="9:16" x14ac:dyDescent="0.3">
      <c r="I855" s="12" t="s">
        <v>2332</v>
      </c>
      <c r="J855" s="18"/>
      <c r="K855" s="11"/>
      <c r="L855" s="11"/>
      <c r="M855" s="11"/>
      <c r="N855" s="11"/>
      <c r="O855" s="11"/>
      <c r="P855" s="11"/>
    </row>
    <row r="856" spans="9:16" x14ac:dyDescent="0.3">
      <c r="I856" s="12" t="s">
        <v>2333</v>
      </c>
      <c r="J856" s="18"/>
      <c r="K856" s="11"/>
      <c r="L856" s="11"/>
      <c r="M856" s="11"/>
      <c r="N856" s="11"/>
      <c r="O856" s="11"/>
      <c r="P856" s="11"/>
    </row>
    <row r="857" spans="9:16" x14ac:dyDescent="0.3">
      <c r="I857" s="12" t="s">
        <v>2334</v>
      </c>
      <c r="J857" s="18"/>
      <c r="K857" s="11"/>
      <c r="L857" s="11"/>
      <c r="M857" s="11"/>
      <c r="N857" s="11"/>
      <c r="O857" s="11"/>
      <c r="P857" s="11"/>
    </row>
    <row r="858" spans="9:16" x14ac:dyDescent="0.3">
      <c r="I858" s="12" t="s">
        <v>2335</v>
      </c>
      <c r="J858" s="18"/>
      <c r="K858" s="11"/>
      <c r="L858" s="11"/>
      <c r="M858" s="11"/>
      <c r="N858" s="11"/>
      <c r="O858" s="11"/>
      <c r="P858" s="11"/>
    </row>
    <row r="859" spans="9:16" x14ac:dyDescent="0.3">
      <c r="I859" s="12" t="s">
        <v>2336</v>
      </c>
      <c r="J859" s="18"/>
      <c r="K859" s="11"/>
      <c r="L859" s="11"/>
      <c r="M859" s="11"/>
      <c r="N859" s="11"/>
      <c r="O859" s="11"/>
      <c r="P859" s="11"/>
    </row>
    <row r="860" spans="9:16" x14ac:dyDescent="0.3">
      <c r="I860" s="12" t="s">
        <v>2337</v>
      </c>
      <c r="J860" s="18"/>
      <c r="K860" s="11"/>
      <c r="L860" s="11"/>
      <c r="M860" s="11"/>
      <c r="N860" s="11"/>
      <c r="O860" s="11"/>
      <c r="P860" s="11"/>
    </row>
    <row r="861" spans="9:16" x14ac:dyDescent="0.3">
      <c r="I861" s="12" t="s">
        <v>2338</v>
      </c>
      <c r="J861" s="18"/>
      <c r="K861" s="11"/>
      <c r="L861" s="11"/>
      <c r="M861" s="11"/>
      <c r="N861" s="11"/>
      <c r="O861" s="11"/>
      <c r="P861" s="11"/>
    </row>
    <row r="862" spans="9:16" x14ac:dyDescent="0.3">
      <c r="I862" s="12" t="s">
        <v>2339</v>
      </c>
      <c r="J862" s="18"/>
      <c r="K862" s="11"/>
      <c r="L862" s="11"/>
      <c r="M862" s="11"/>
      <c r="N862" s="11"/>
      <c r="O862" s="11"/>
      <c r="P862" s="11"/>
    </row>
    <row r="863" spans="9:16" x14ac:dyDescent="0.3">
      <c r="I863" s="12" t="s">
        <v>2340</v>
      </c>
      <c r="J863" s="18"/>
      <c r="K863" s="11"/>
      <c r="L863" s="11"/>
      <c r="M863" s="11"/>
      <c r="N863" s="11"/>
      <c r="O863" s="11"/>
      <c r="P863" s="11"/>
    </row>
    <row r="864" spans="9:16" x14ac:dyDescent="0.3">
      <c r="I864" s="12" t="s">
        <v>2341</v>
      </c>
      <c r="J864" s="18"/>
      <c r="K864" s="11"/>
      <c r="L864" s="11"/>
      <c r="M864" s="11"/>
      <c r="N864" s="11"/>
      <c r="O864" s="11"/>
      <c r="P864" s="11"/>
    </row>
    <row r="865" spans="9:16" x14ac:dyDescent="0.3">
      <c r="I865" s="12" t="s">
        <v>2342</v>
      </c>
      <c r="J865" s="18"/>
      <c r="K865" s="11"/>
      <c r="L865" s="11"/>
      <c r="M865" s="11"/>
      <c r="N865" s="11"/>
      <c r="O865" s="11"/>
      <c r="P865" s="11"/>
    </row>
    <row r="866" spans="9:16" x14ac:dyDescent="0.3">
      <c r="I866" s="12" t="s">
        <v>2343</v>
      </c>
      <c r="J866" s="18"/>
      <c r="K866" s="11"/>
      <c r="L866" s="11"/>
      <c r="M866" s="11"/>
      <c r="N866" s="11"/>
      <c r="O866" s="11"/>
      <c r="P866" s="11"/>
    </row>
    <row r="867" spans="9:16" x14ac:dyDescent="0.3">
      <c r="I867" s="12" t="s">
        <v>2344</v>
      </c>
      <c r="J867" s="18"/>
      <c r="K867" s="11"/>
      <c r="L867" s="11"/>
      <c r="M867" s="11"/>
      <c r="N867" s="11"/>
      <c r="O867" s="11"/>
      <c r="P867" s="11"/>
    </row>
    <row r="868" spans="9:16" x14ac:dyDescent="0.3">
      <c r="I868" s="12" t="s">
        <v>2345</v>
      </c>
      <c r="J868" s="18"/>
      <c r="K868" s="11"/>
      <c r="L868" s="11"/>
      <c r="M868" s="11"/>
      <c r="N868" s="11"/>
      <c r="O868" s="11"/>
      <c r="P868" s="11"/>
    </row>
    <row r="869" spans="9:16" x14ac:dyDescent="0.3">
      <c r="I869" s="12" t="s">
        <v>2346</v>
      </c>
      <c r="J869" s="18"/>
      <c r="K869" s="11"/>
      <c r="L869" s="11"/>
      <c r="M869" s="11"/>
      <c r="N869" s="11"/>
      <c r="O869" s="11"/>
      <c r="P869" s="11"/>
    </row>
    <row r="870" spans="9:16" x14ac:dyDescent="0.3">
      <c r="I870" s="12" t="s">
        <v>2347</v>
      </c>
      <c r="J870" s="18"/>
      <c r="K870" s="11"/>
      <c r="L870" s="11"/>
      <c r="M870" s="11"/>
      <c r="N870" s="11"/>
      <c r="O870" s="11"/>
      <c r="P870" s="11"/>
    </row>
    <row r="871" spans="9:16" x14ac:dyDescent="0.3">
      <c r="I871" s="12" t="s">
        <v>2348</v>
      </c>
      <c r="J871" s="18"/>
      <c r="K871" s="11"/>
      <c r="L871" s="11"/>
      <c r="M871" s="11"/>
      <c r="N871" s="11"/>
      <c r="O871" s="11"/>
      <c r="P871" s="11"/>
    </row>
    <row r="872" spans="9:16" x14ac:dyDescent="0.3">
      <c r="I872" s="12" t="s">
        <v>2349</v>
      </c>
      <c r="J872" s="18"/>
      <c r="K872" s="11"/>
      <c r="L872" s="11"/>
      <c r="M872" s="11"/>
      <c r="N872" s="11"/>
      <c r="O872" s="11"/>
      <c r="P872" s="11"/>
    </row>
    <row r="873" spans="9:16" x14ac:dyDescent="0.3">
      <c r="I873" s="12" t="s">
        <v>2350</v>
      </c>
      <c r="J873" s="18"/>
      <c r="K873" s="11"/>
      <c r="L873" s="11"/>
      <c r="M873" s="11"/>
      <c r="N873" s="11"/>
      <c r="O873" s="11"/>
      <c r="P873" s="11"/>
    </row>
    <row r="874" spans="9:16" x14ac:dyDescent="0.3">
      <c r="I874" s="12" t="s">
        <v>2351</v>
      </c>
      <c r="J874" s="18"/>
      <c r="K874" s="11"/>
      <c r="L874" s="11"/>
      <c r="M874" s="11"/>
      <c r="N874" s="11"/>
      <c r="O874" s="11"/>
      <c r="P874" s="11"/>
    </row>
    <row r="875" spans="9:16" x14ac:dyDescent="0.3">
      <c r="I875" s="12" t="s">
        <v>2352</v>
      </c>
      <c r="J875" s="18"/>
      <c r="K875" s="11"/>
      <c r="L875" s="11"/>
      <c r="M875" s="11"/>
      <c r="N875" s="11"/>
      <c r="O875" s="11"/>
      <c r="P875" s="11"/>
    </row>
    <row r="876" spans="9:16" x14ac:dyDescent="0.3">
      <c r="I876" s="12" t="s">
        <v>2353</v>
      </c>
      <c r="J876" s="18"/>
      <c r="K876" s="11"/>
      <c r="L876" s="11"/>
      <c r="M876" s="11"/>
      <c r="N876" s="11"/>
      <c r="O876" s="11"/>
      <c r="P876" s="11"/>
    </row>
    <row r="877" spans="9:16" x14ac:dyDescent="0.3">
      <c r="I877" s="12" t="s">
        <v>2354</v>
      </c>
      <c r="J877" s="18"/>
      <c r="K877" s="11"/>
      <c r="L877" s="11"/>
      <c r="M877" s="11"/>
      <c r="N877" s="11"/>
      <c r="O877" s="11"/>
      <c r="P877" s="11"/>
    </row>
    <row r="878" spans="9:16" x14ac:dyDescent="0.3">
      <c r="I878" s="12" t="s">
        <v>2355</v>
      </c>
      <c r="J878" s="18"/>
      <c r="K878" s="11"/>
      <c r="L878" s="11"/>
      <c r="M878" s="11"/>
      <c r="N878" s="11"/>
      <c r="O878" s="11"/>
      <c r="P878" s="11"/>
    </row>
    <row r="879" spans="9:16" x14ac:dyDescent="0.3">
      <c r="I879" s="12" t="s">
        <v>2356</v>
      </c>
      <c r="J879" s="18"/>
      <c r="K879" s="11"/>
      <c r="L879" s="11"/>
      <c r="M879" s="11"/>
      <c r="N879" s="11"/>
      <c r="O879" s="11"/>
      <c r="P879" s="11"/>
    </row>
    <row r="880" spans="9:16" x14ac:dyDescent="0.3">
      <c r="I880" s="12" t="s">
        <v>2357</v>
      </c>
      <c r="J880" s="18"/>
      <c r="K880" s="11"/>
      <c r="L880" s="11"/>
      <c r="M880" s="11"/>
      <c r="N880" s="11"/>
      <c r="O880" s="11"/>
      <c r="P880" s="11"/>
    </row>
    <row r="881" spans="9:16" x14ac:dyDescent="0.3">
      <c r="I881" s="12" t="s">
        <v>2358</v>
      </c>
      <c r="J881" s="18"/>
      <c r="K881" s="11"/>
      <c r="L881" s="11"/>
      <c r="M881" s="11"/>
      <c r="N881" s="11"/>
      <c r="O881" s="11"/>
      <c r="P881" s="11"/>
    </row>
    <row r="882" spans="9:16" x14ac:dyDescent="0.3">
      <c r="I882" s="12" t="s">
        <v>2359</v>
      </c>
      <c r="J882" s="18"/>
      <c r="K882" s="11"/>
      <c r="L882" s="11"/>
      <c r="M882" s="11"/>
      <c r="N882" s="11"/>
      <c r="O882" s="11"/>
      <c r="P882" s="11"/>
    </row>
    <row r="883" spans="9:16" x14ac:dyDescent="0.3">
      <c r="I883" s="12" t="s">
        <v>2360</v>
      </c>
      <c r="J883" s="18"/>
      <c r="K883" s="11"/>
      <c r="L883" s="11"/>
      <c r="M883" s="11"/>
      <c r="N883" s="11"/>
      <c r="O883" s="11"/>
      <c r="P883" s="11"/>
    </row>
    <row r="884" spans="9:16" x14ac:dyDescent="0.3">
      <c r="I884" s="12" t="s">
        <v>2361</v>
      </c>
      <c r="J884" s="18"/>
      <c r="K884" s="11"/>
      <c r="L884" s="11"/>
      <c r="M884" s="11"/>
      <c r="N884" s="11"/>
      <c r="O884" s="11"/>
      <c r="P884" s="11"/>
    </row>
    <row r="885" spans="9:16" x14ac:dyDescent="0.3">
      <c r="I885" s="12" t="s">
        <v>2362</v>
      </c>
      <c r="J885" s="18"/>
      <c r="K885" s="11"/>
      <c r="L885" s="11"/>
      <c r="M885" s="11"/>
      <c r="N885" s="11"/>
      <c r="O885" s="11"/>
      <c r="P885" s="11"/>
    </row>
    <row r="886" spans="9:16" x14ac:dyDescent="0.3">
      <c r="I886" s="12" t="s">
        <v>2363</v>
      </c>
      <c r="J886" s="18"/>
      <c r="K886" s="11"/>
      <c r="L886" s="11"/>
      <c r="M886" s="11"/>
      <c r="N886" s="11"/>
      <c r="O886" s="11"/>
      <c r="P886" s="11"/>
    </row>
    <row r="887" spans="9:16" x14ac:dyDescent="0.3">
      <c r="I887" s="12" t="s">
        <v>2364</v>
      </c>
      <c r="J887" s="18"/>
      <c r="K887" s="11"/>
      <c r="L887" s="11"/>
      <c r="M887" s="11"/>
      <c r="N887" s="11"/>
      <c r="O887" s="11"/>
      <c r="P887" s="11"/>
    </row>
    <row r="888" spans="9:16" x14ac:dyDescent="0.3">
      <c r="I888" s="12" t="s">
        <v>2365</v>
      </c>
      <c r="J888" s="18"/>
      <c r="K888" s="11"/>
      <c r="L888" s="11"/>
      <c r="M888" s="11"/>
      <c r="N888" s="11"/>
      <c r="O888" s="11"/>
      <c r="P888" s="11"/>
    </row>
    <row r="889" spans="9:16" x14ac:dyDescent="0.3">
      <c r="I889" s="12" t="s">
        <v>2366</v>
      </c>
      <c r="J889" s="18"/>
      <c r="K889" s="11"/>
      <c r="L889" s="11"/>
      <c r="M889" s="11"/>
      <c r="N889" s="11"/>
      <c r="O889" s="11"/>
      <c r="P889" s="11"/>
    </row>
    <row r="890" spans="9:16" x14ac:dyDescent="0.3">
      <c r="I890" s="12" t="s">
        <v>2367</v>
      </c>
      <c r="J890" s="18"/>
      <c r="K890" s="11"/>
      <c r="L890" s="11"/>
      <c r="M890" s="11"/>
      <c r="N890" s="11"/>
      <c r="O890" s="11"/>
      <c r="P890" s="11"/>
    </row>
    <row r="891" spans="9:16" x14ac:dyDescent="0.3">
      <c r="I891" s="12" t="s">
        <v>2368</v>
      </c>
      <c r="J891" s="18"/>
      <c r="K891" s="11"/>
      <c r="L891" s="11"/>
      <c r="M891" s="11"/>
      <c r="N891" s="11"/>
      <c r="O891" s="11"/>
      <c r="P891" s="11"/>
    </row>
    <row r="892" spans="9:16" x14ac:dyDescent="0.3">
      <c r="I892" s="12" t="s">
        <v>2369</v>
      </c>
      <c r="J892" s="18"/>
      <c r="K892" s="11"/>
      <c r="L892" s="11"/>
      <c r="M892" s="11"/>
      <c r="N892" s="11"/>
      <c r="O892" s="11"/>
      <c r="P892" s="11"/>
    </row>
    <row r="893" spans="9:16" x14ac:dyDescent="0.3">
      <c r="I893" s="12" t="s">
        <v>2370</v>
      </c>
      <c r="J893" s="18"/>
      <c r="K893" s="11"/>
      <c r="L893" s="11"/>
      <c r="M893" s="11"/>
      <c r="N893" s="11"/>
      <c r="O893" s="11"/>
      <c r="P893" s="11"/>
    </row>
    <row r="894" spans="9:16" x14ac:dyDescent="0.3">
      <c r="I894" s="12" t="s">
        <v>2371</v>
      </c>
      <c r="J894" s="18"/>
      <c r="K894" s="11"/>
      <c r="L894" s="11"/>
      <c r="M894" s="11"/>
      <c r="N894" s="11"/>
      <c r="O894" s="11"/>
      <c r="P894" s="11"/>
    </row>
    <row r="895" spans="9:16" x14ac:dyDescent="0.3">
      <c r="I895" s="12" t="s">
        <v>2372</v>
      </c>
      <c r="J895" s="18"/>
      <c r="K895" s="11"/>
      <c r="L895" s="11"/>
      <c r="M895" s="11"/>
      <c r="N895" s="11"/>
      <c r="O895" s="11"/>
      <c r="P895" s="11"/>
    </row>
    <row r="896" spans="9:16" x14ac:dyDescent="0.3">
      <c r="I896" s="12" t="s">
        <v>2373</v>
      </c>
      <c r="J896" s="18"/>
      <c r="K896" s="11"/>
      <c r="L896" s="11"/>
      <c r="M896" s="11"/>
      <c r="N896" s="11"/>
      <c r="O896" s="11"/>
      <c r="P896" s="11"/>
    </row>
    <row r="897" spans="9:16" x14ac:dyDescent="0.3">
      <c r="I897" s="12" t="s">
        <v>2374</v>
      </c>
      <c r="J897" s="18"/>
      <c r="K897" s="11"/>
      <c r="L897" s="11"/>
      <c r="M897" s="11"/>
      <c r="N897" s="11"/>
      <c r="O897" s="11"/>
      <c r="P897" s="11"/>
    </row>
    <row r="898" spans="9:16" x14ac:dyDescent="0.3">
      <c r="I898" s="12" t="s">
        <v>2375</v>
      </c>
      <c r="J898" s="18"/>
      <c r="K898" s="11"/>
      <c r="L898" s="11"/>
      <c r="M898" s="11"/>
      <c r="N898" s="11"/>
      <c r="O898" s="11"/>
      <c r="P898" s="11"/>
    </row>
    <row r="899" spans="9:16" x14ac:dyDescent="0.3">
      <c r="I899" s="12" t="s">
        <v>2376</v>
      </c>
      <c r="J899" s="18"/>
      <c r="K899" s="11"/>
      <c r="L899" s="11"/>
      <c r="M899" s="11"/>
      <c r="N899" s="11"/>
      <c r="O899" s="11"/>
      <c r="P899" s="11"/>
    </row>
    <row r="900" spans="9:16" x14ac:dyDescent="0.3">
      <c r="I900" s="12" t="s">
        <v>2377</v>
      </c>
      <c r="J900" s="18"/>
      <c r="K900" s="11"/>
      <c r="L900" s="11"/>
      <c r="M900" s="11"/>
      <c r="N900" s="11"/>
      <c r="O900" s="11"/>
      <c r="P900" s="11"/>
    </row>
    <row r="901" spans="9:16" x14ac:dyDescent="0.3">
      <c r="I901" s="12" t="s">
        <v>2378</v>
      </c>
      <c r="J901" s="18"/>
      <c r="K901" s="11"/>
      <c r="L901" s="11"/>
      <c r="M901" s="11"/>
      <c r="N901" s="11"/>
      <c r="O901" s="11"/>
      <c r="P901" s="11"/>
    </row>
    <row r="902" spans="9:16" x14ac:dyDescent="0.3">
      <c r="I902" s="12" t="s">
        <v>2379</v>
      </c>
      <c r="J902" s="18"/>
      <c r="K902" s="11"/>
      <c r="L902" s="11"/>
      <c r="M902" s="11"/>
      <c r="N902" s="11"/>
      <c r="O902" s="11"/>
      <c r="P902" s="11"/>
    </row>
    <row r="903" spans="9:16" x14ac:dyDescent="0.3">
      <c r="I903" s="12" t="s">
        <v>2380</v>
      </c>
      <c r="J903" s="18"/>
      <c r="K903" s="11"/>
      <c r="L903" s="11"/>
      <c r="M903" s="11"/>
      <c r="N903" s="11"/>
      <c r="O903" s="11"/>
      <c r="P903" s="11"/>
    </row>
    <row r="904" spans="9:16" x14ac:dyDescent="0.3">
      <c r="I904" s="12" t="s">
        <v>2381</v>
      </c>
      <c r="J904" s="18"/>
      <c r="K904" s="11"/>
      <c r="L904" s="11"/>
      <c r="M904" s="11"/>
      <c r="N904" s="11"/>
      <c r="O904" s="11"/>
      <c r="P904" s="11"/>
    </row>
    <row r="905" spans="9:16" x14ac:dyDescent="0.3">
      <c r="I905" s="12" t="s">
        <v>2382</v>
      </c>
      <c r="J905" s="18"/>
      <c r="K905" s="11"/>
      <c r="L905" s="11"/>
      <c r="M905" s="11"/>
      <c r="N905" s="11"/>
      <c r="O905" s="11"/>
      <c r="P905" s="11"/>
    </row>
    <row r="906" spans="9:16" x14ac:dyDescent="0.3">
      <c r="I906" s="12" t="s">
        <v>2383</v>
      </c>
      <c r="J906" s="18"/>
      <c r="K906" s="11"/>
      <c r="L906" s="11"/>
      <c r="M906" s="11"/>
      <c r="N906" s="11"/>
      <c r="O906" s="11"/>
      <c r="P906" s="11"/>
    </row>
    <row r="907" spans="9:16" x14ac:dyDescent="0.3">
      <c r="I907" s="12" t="s">
        <v>2384</v>
      </c>
      <c r="J907" s="18"/>
      <c r="K907" s="11"/>
      <c r="L907" s="11"/>
      <c r="M907" s="11"/>
      <c r="N907" s="11"/>
      <c r="O907" s="11"/>
      <c r="P907" s="11"/>
    </row>
    <row r="908" spans="9:16" x14ac:dyDescent="0.3">
      <c r="I908" s="12" t="s">
        <v>2385</v>
      </c>
      <c r="J908" s="18"/>
      <c r="K908" s="11"/>
      <c r="L908" s="11"/>
      <c r="M908" s="11"/>
      <c r="N908" s="11"/>
      <c r="O908" s="11"/>
      <c r="P908" s="11"/>
    </row>
    <row r="909" spans="9:16" x14ac:dyDescent="0.3">
      <c r="I909" s="12" t="s">
        <v>2386</v>
      </c>
      <c r="J909" s="18"/>
      <c r="K909" s="11"/>
      <c r="L909" s="11"/>
      <c r="M909" s="11"/>
      <c r="N909" s="11"/>
      <c r="O909" s="11"/>
      <c r="P909" s="11"/>
    </row>
    <row r="910" spans="9:16" x14ac:dyDescent="0.3">
      <c r="I910" s="12" t="s">
        <v>2387</v>
      </c>
      <c r="J910" s="18"/>
      <c r="K910" s="11"/>
      <c r="L910" s="11"/>
      <c r="M910" s="11"/>
      <c r="N910" s="11"/>
      <c r="O910" s="11"/>
      <c r="P910" s="11"/>
    </row>
    <row r="911" spans="9:16" x14ac:dyDescent="0.3">
      <c r="I911" s="12" t="s">
        <v>2388</v>
      </c>
      <c r="J911" s="18"/>
      <c r="K911" s="11"/>
      <c r="L911" s="11"/>
      <c r="M911" s="11"/>
      <c r="N911" s="11"/>
      <c r="O911" s="11"/>
      <c r="P911" s="11"/>
    </row>
    <row r="912" spans="9:16" x14ac:dyDescent="0.3">
      <c r="I912" s="12" t="s">
        <v>2389</v>
      </c>
      <c r="J912" s="18"/>
      <c r="K912" s="11"/>
      <c r="L912" s="11"/>
      <c r="M912" s="11"/>
      <c r="N912" s="11"/>
      <c r="O912" s="11"/>
      <c r="P912" s="11"/>
    </row>
    <row r="913" spans="9:16" x14ac:dyDescent="0.3">
      <c r="I913" s="12" t="s">
        <v>2390</v>
      </c>
      <c r="J913" s="18"/>
      <c r="K913" s="11"/>
      <c r="L913" s="11"/>
      <c r="M913" s="11"/>
      <c r="N913" s="11"/>
      <c r="O913" s="11"/>
      <c r="P913" s="11"/>
    </row>
    <row r="914" spans="9:16" x14ac:dyDescent="0.3">
      <c r="I914" s="12" t="s">
        <v>2391</v>
      </c>
      <c r="J914" s="18"/>
      <c r="K914" s="11"/>
      <c r="L914" s="11"/>
      <c r="M914" s="11"/>
      <c r="N914" s="11"/>
      <c r="O914" s="11"/>
      <c r="P914" s="11"/>
    </row>
    <row r="915" spans="9:16" x14ac:dyDescent="0.3">
      <c r="I915" s="12" t="s">
        <v>2392</v>
      </c>
      <c r="J915" s="18"/>
      <c r="K915" s="11"/>
      <c r="L915" s="11"/>
      <c r="M915" s="11"/>
      <c r="N915" s="11"/>
      <c r="O915" s="11"/>
      <c r="P915" s="11"/>
    </row>
    <row r="916" spans="9:16" x14ac:dyDescent="0.3">
      <c r="I916" s="12" t="s">
        <v>2393</v>
      </c>
      <c r="J916" s="18"/>
      <c r="K916" s="11"/>
      <c r="L916" s="11"/>
      <c r="M916" s="11"/>
      <c r="N916" s="11"/>
      <c r="O916" s="11"/>
      <c r="P916" s="11"/>
    </row>
    <row r="917" spans="9:16" x14ac:dyDescent="0.3">
      <c r="I917" s="12" t="s">
        <v>2394</v>
      </c>
      <c r="J917" s="18"/>
      <c r="K917" s="11"/>
      <c r="L917" s="11"/>
      <c r="M917" s="11"/>
      <c r="N917" s="11"/>
      <c r="O917" s="11"/>
      <c r="P917" s="11"/>
    </row>
    <row r="918" spans="9:16" x14ac:dyDescent="0.3">
      <c r="I918" s="12" t="s">
        <v>2395</v>
      </c>
      <c r="J918" s="18"/>
      <c r="K918" s="11"/>
      <c r="L918" s="11"/>
      <c r="M918" s="11"/>
      <c r="N918" s="11"/>
      <c r="O918" s="11"/>
      <c r="P918" s="11"/>
    </row>
    <row r="919" spans="9:16" x14ac:dyDescent="0.3">
      <c r="I919" s="12" t="s">
        <v>2396</v>
      </c>
      <c r="J919" s="18"/>
      <c r="K919" s="11"/>
      <c r="L919" s="11"/>
      <c r="M919" s="11"/>
      <c r="N919" s="11"/>
      <c r="O919" s="11"/>
      <c r="P919" s="11"/>
    </row>
    <row r="920" spans="9:16" x14ac:dyDescent="0.3">
      <c r="I920" s="12" t="s">
        <v>2397</v>
      </c>
      <c r="J920" s="18"/>
      <c r="K920" s="11"/>
      <c r="L920" s="11"/>
      <c r="M920" s="11"/>
      <c r="N920" s="11"/>
      <c r="O920" s="11"/>
      <c r="P920" s="11"/>
    </row>
    <row r="921" spans="9:16" x14ac:dyDescent="0.3">
      <c r="I921" s="12" t="s">
        <v>2398</v>
      </c>
      <c r="J921" s="18"/>
      <c r="K921" s="11"/>
      <c r="L921" s="11"/>
      <c r="M921" s="11"/>
      <c r="N921" s="11"/>
      <c r="O921" s="11"/>
      <c r="P921" s="11"/>
    </row>
    <row r="922" spans="9:16" x14ac:dyDescent="0.3">
      <c r="I922" s="12" t="s">
        <v>2399</v>
      </c>
      <c r="J922" s="18"/>
      <c r="K922" s="11"/>
      <c r="L922" s="11"/>
      <c r="M922" s="11"/>
      <c r="N922" s="11"/>
      <c r="O922" s="11"/>
      <c r="P922" s="11"/>
    </row>
    <row r="923" spans="9:16" x14ac:dyDescent="0.3">
      <c r="I923" s="12" t="s">
        <v>2400</v>
      </c>
      <c r="J923" s="18"/>
      <c r="K923" s="11"/>
      <c r="L923" s="11"/>
      <c r="M923" s="11"/>
      <c r="N923" s="11"/>
      <c r="O923" s="11"/>
      <c r="P923" s="11"/>
    </row>
    <row r="924" spans="9:16" x14ac:dyDescent="0.3">
      <c r="I924" s="12" t="s">
        <v>2401</v>
      </c>
      <c r="J924" s="18"/>
      <c r="K924" s="11"/>
      <c r="L924" s="11"/>
      <c r="M924" s="11"/>
      <c r="N924" s="11"/>
      <c r="O924" s="11"/>
      <c r="P924" s="11"/>
    </row>
    <row r="925" spans="9:16" x14ac:dyDescent="0.3">
      <c r="I925" s="12" t="s">
        <v>2402</v>
      </c>
      <c r="J925" s="18"/>
      <c r="K925" s="11"/>
      <c r="L925" s="11"/>
      <c r="M925" s="11"/>
      <c r="N925" s="11"/>
      <c r="O925" s="11"/>
      <c r="P925" s="11"/>
    </row>
    <row r="926" spans="9:16" x14ac:dyDescent="0.3">
      <c r="I926" s="12" t="s">
        <v>2403</v>
      </c>
      <c r="J926" s="18"/>
      <c r="K926" s="11"/>
      <c r="L926" s="11"/>
      <c r="M926" s="11"/>
      <c r="N926" s="11"/>
      <c r="O926" s="11"/>
      <c r="P926" s="11"/>
    </row>
    <row r="927" spans="9:16" x14ac:dyDescent="0.3">
      <c r="I927" s="12" t="s">
        <v>2404</v>
      </c>
      <c r="J927" s="18"/>
      <c r="K927" s="11"/>
      <c r="L927" s="11"/>
      <c r="M927" s="11"/>
      <c r="N927" s="11"/>
      <c r="O927" s="11"/>
      <c r="P927" s="11"/>
    </row>
    <row r="928" spans="9:16" x14ac:dyDescent="0.3">
      <c r="I928" s="12" t="s">
        <v>2405</v>
      </c>
      <c r="J928" s="18"/>
      <c r="K928" s="11"/>
      <c r="L928" s="11"/>
      <c r="M928" s="11"/>
      <c r="N928" s="11"/>
      <c r="O928" s="11"/>
      <c r="P928" s="11"/>
    </row>
    <row r="929" spans="9:16" x14ac:dyDescent="0.3">
      <c r="I929" s="12" t="s">
        <v>2406</v>
      </c>
      <c r="J929" s="18"/>
      <c r="K929" s="11"/>
      <c r="L929" s="11"/>
      <c r="M929" s="11"/>
      <c r="N929" s="11"/>
      <c r="O929" s="11"/>
      <c r="P929" s="11"/>
    </row>
    <row r="930" spans="9:16" x14ac:dyDescent="0.3">
      <c r="I930" s="12" t="s">
        <v>2407</v>
      </c>
      <c r="J930" s="18"/>
      <c r="K930" s="11"/>
      <c r="L930" s="11"/>
      <c r="M930" s="11"/>
      <c r="N930" s="11"/>
      <c r="O930" s="11"/>
      <c r="P930" s="11"/>
    </row>
    <row r="931" spans="9:16" x14ac:dyDescent="0.3">
      <c r="I931" s="12" t="s">
        <v>2408</v>
      </c>
      <c r="J931" s="18"/>
      <c r="K931" s="11"/>
      <c r="L931" s="11"/>
      <c r="M931" s="11"/>
      <c r="N931" s="11"/>
      <c r="O931" s="11"/>
      <c r="P931" s="11"/>
    </row>
    <row r="932" spans="9:16" x14ac:dyDescent="0.3">
      <c r="I932" s="12" t="s">
        <v>2409</v>
      </c>
      <c r="J932" s="18"/>
      <c r="K932" s="11"/>
      <c r="L932" s="11"/>
      <c r="M932" s="11"/>
      <c r="N932" s="11"/>
      <c r="O932" s="11"/>
      <c r="P932" s="11"/>
    </row>
    <row r="933" spans="9:16" x14ac:dyDescent="0.3">
      <c r="I933" s="12" t="s">
        <v>2410</v>
      </c>
      <c r="J933" s="18"/>
      <c r="K933" s="11"/>
      <c r="L933" s="11"/>
      <c r="M933" s="11"/>
      <c r="N933" s="11"/>
      <c r="O933" s="11"/>
      <c r="P933" s="11"/>
    </row>
    <row r="934" spans="9:16" x14ac:dyDescent="0.3">
      <c r="I934" s="12" t="s">
        <v>2411</v>
      </c>
      <c r="J934" s="18"/>
      <c r="K934" s="11"/>
      <c r="L934" s="11"/>
      <c r="M934" s="11"/>
      <c r="N934" s="11"/>
      <c r="O934" s="11"/>
      <c r="P934" s="11"/>
    </row>
    <row r="935" spans="9:16" x14ac:dyDescent="0.3">
      <c r="I935" s="12" t="s">
        <v>2412</v>
      </c>
      <c r="J935" s="18"/>
      <c r="K935" s="11"/>
      <c r="L935" s="11"/>
      <c r="M935" s="11"/>
      <c r="N935" s="11"/>
      <c r="O935" s="11"/>
      <c r="P935" s="11"/>
    </row>
    <row r="936" spans="9:16" x14ac:dyDescent="0.3">
      <c r="I936" s="12" t="s">
        <v>2413</v>
      </c>
      <c r="J936" s="18"/>
      <c r="K936" s="11"/>
      <c r="L936" s="11"/>
      <c r="M936" s="11"/>
      <c r="N936" s="11"/>
      <c r="O936" s="11"/>
      <c r="P936" s="11"/>
    </row>
    <row r="937" spans="9:16" x14ac:dyDescent="0.3">
      <c r="I937" s="12" t="s">
        <v>2414</v>
      </c>
      <c r="J937" s="18"/>
      <c r="K937" s="11"/>
      <c r="L937" s="11"/>
      <c r="M937" s="11"/>
      <c r="N937" s="11"/>
      <c r="O937" s="11"/>
      <c r="P937" s="11"/>
    </row>
    <row r="938" spans="9:16" x14ac:dyDescent="0.3">
      <c r="I938" s="12" t="s">
        <v>2415</v>
      </c>
      <c r="J938" s="18"/>
      <c r="K938" s="11"/>
      <c r="L938" s="11"/>
      <c r="M938" s="11"/>
      <c r="N938" s="11"/>
      <c r="O938" s="11"/>
      <c r="P938" s="11"/>
    </row>
    <row r="939" spans="9:16" x14ac:dyDescent="0.3">
      <c r="I939" s="12" t="s">
        <v>2416</v>
      </c>
      <c r="J939" s="18"/>
      <c r="K939" s="11"/>
      <c r="L939" s="11"/>
      <c r="M939" s="11"/>
      <c r="N939" s="11"/>
      <c r="O939" s="11"/>
      <c r="P939" s="11"/>
    </row>
    <row r="940" spans="9:16" x14ac:dyDescent="0.3">
      <c r="I940" s="12" t="s">
        <v>2417</v>
      </c>
      <c r="J940" s="18"/>
      <c r="K940" s="11"/>
      <c r="L940" s="11"/>
      <c r="M940" s="11"/>
      <c r="N940" s="11"/>
      <c r="O940" s="11"/>
      <c r="P940" s="11"/>
    </row>
    <row r="941" spans="9:16" x14ac:dyDescent="0.3">
      <c r="I941" s="12" t="s">
        <v>2418</v>
      </c>
      <c r="J941" s="18"/>
      <c r="K941" s="11"/>
      <c r="L941" s="11"/>
      <c r="M941" s="11"/>
      <c r="N941" s="11"/>
      <c r="O941" s="11"/>
      <c r="P941" s="11"/>
    </row>
    <row r="942" spans="9:16" x14ac:dyDescent="0.3">
      <c r="I942" s="12" t="s">
        <v>2419</v>
      </c>
      <c r="J942" s="18"/>
      <c r="K942" s="11"/>
      <c r="L942" s="11"/>
      <c r="M942" s="11"/>
      <c r="N942" s="11"/>
      <c r="O942" s="11"/>
      <c r="P942" s="11"/>
    </row>
    <row r="943" spans="9:16" x14ac:dyDescent="0.3">
      <c r="I943" s="12" t="s">
        <v>2420</v>
      </c>
      <c r="J943" s="18"/>
      <c r="K943" s="11"/>
      <c r="L943" s="11"/>
      <c r="M943" s="11"/>
      <c r="N943" s="11"/>
      <c r="O943" s="11"/>
      <c r="P943" s="11"/>
    </row>
    <row r="944" spans="9:16" x14ac:dyDescent="0.3">
      <c r="I944" s="12" t="s">
        <v>2421</v>
      </c>
      <c r="J944" s="18"/>
      <c r="K944" s="11"/>
      <c r="L944" s="11"/>
      <c r="M944" s="11"/>
      <c r="N944" s="11"/>
      <c r="O944" s="11"/>
      <c r="P944" s="11"/>
    </row>
    <row r="945" spans="9:16" x14ac:dyDescent="0.3">
      <c r="I945" s="12" t="s">
        <v>2422</v>
      </c>
      <c r="J945" s="18"/>
      <c r="K945" s="11"/>
      <c r="L945" s="11"/>
      <c r="M945" s="11"/>
      <c r="N945" s="11"/>
      <c r="O945" s="11"/>
      <c r="P945" s="11"/>
    </row>
    <row r="946" spans="9:16" x14ac:dyDescent="0.3">
      <c r="I946" s="12" t="s">
        <v>2423</v>
      </c>
      <c r="J946" s="18"/>
      <c r="K946" s="11"/>
      <c r="L946" s="11"/>
      <c r="M946" s="11"/>
      <c r="N946" s="11"/>
      <c r="O946" s="11"/>
      <c r="P946" s="11"/>
    </row>
    <row r="947" spans="9:16" x14ac:dyDescent="0.3">
      <c r="I947" s="12" t="s">
        <v>2424</v>
      </c>
      <c r="J947" s="18"/>
      <c r="K947" s="11"/>
      <c r="L947" s="11"/>
      <c r="M947" s="11"/>
      <c r="N947" s="11"/>
      <c r="O947" s="11"/>
      <c r="P947" s="11"/>
    </row>
    <row r="948" spans="9:16" x14ac:dyDescent="0.3">
      <c r="I948" s="12" t="s">
        <v>2425</v>
      </c>
      <c r="J948" s="18"/>
      <c r="K948" s="11"/>
      <c r="L948" s="11"/>
      <c r="M948" s="11"/>
      <c r="N948" s="11"/>
      <c r="O948" s="11"/>
      <c r="P948" s="11"/>
    </row>
    <row r="949" spans="9:16" x14ac:dyDescent="0.3">
      <c r="I949" s="12" t="s">
        <v>2426</v>
      </c>
      <c r="J949" s="18"/>
      <c r="K949" s="11"/>
      <c r="L949" s="11"/>
      <c r="M949" s="11"/>
      <c r="N949" s="11"/>
      <c r="O949" s="11"/>
      <c r="P949" s="11"/>
    </row>
    <row r="950" spans="9:16" x14ac:dyDescent="0.3">
      <c r="I950" s="12" t="s">
        <v>2427</v>
      </c>
      <c r="J950" s="18"/>
      <c r="K950" s="11"/>
      <c r="L950" s="11"/>
      <c r="M950" s="11"/>
      <c r="N950" s="11"/>
      <c r="O950" s="11"/>
      <c r="P950" s="11"/>
    </row>
    <row r="951" spans="9:16" x14ac:dyDescent="0.3">
      <c r="I951" s="12" t="s">
        <v>2428</v>
      </c>
      <c r="J951" s="18"/>
      <c r="K951" s="11"/>
      <c r="L951" s="11"/>
      <c r="M951" s="11"/>
      <c r="N951" s="11"/>
      <c r="O951" s="11"/>
      <c r="P951" s="11"/>
    </row>
    <row r="952" spans="9:16" x14ac:dyDescent="0.3">
      <c r="I952" s="12" t="s">
        <v>2429</v>
      </c>
      <c r="J952" s="18"/>
      <c r="K952" s="11"/>
      <c r="L952" s="11"/>
      <c r="M952" s="11"/>
      <c r="N952" s="11"/>
      <c r="O952" s="11"/>
      <c r="P952" s="11"/>
    </row>
    <row r="953" spans="9:16" x14ac:dyDescent="0.3">
      <c r="I953" s="12" t="s">
        <v>2430</v>
      </c>
      <c r="J953" s="18"/>
      <c r="K953" s="11"/>
      <c r="L953" s="11"/>
      <c r="M953" s="11"/>
      <c r="N953" s="11"/>
      <c r="O953" s="11"/>
      <c r="P953" s="11"/>
    </row>
    <row r="954" spans="9:16" x14ac:dyDescent="0.3">
      <c r="I954" s="12" t="s">
        <v>2431</v>
      </c>
      <c r="J954" s="18"/>
      <c r="K954" s="11"/>
      <c r="L954" s="11"/>
      <c r="M954" s="11"/>
      <c r="N954" s="11"/>
      <c r="O954" s="11"/>
      <c r="P954" s="11"/>
    </row>
    <row r="955" spans="9:16" x14ac:dyDescent="0.3">
      <c r="I955" s="12" t="s">
        <v>2432</v>
      </c>
      <c r="J955" s="18"/>
      <c r="K955" s="11"/>
      <c r="L955" s="11"/>
      <c r="M955" s="11"/>
      <c r="N955" s="11"/>
      <c r="O955" s="11"/>
      <c r="P955" s="11"/>
    </row>
    <row r="956" spans="9:16" x14ac:dyDescent="0.3">
      <c r="I956" s="12" t="s">
        <v>2433</v>
      </c>
      <c r="J956" s="18"/>
      <c r="K956" s="11"/>
      <c r="L956" s="11"/>
      <c r="M956" s="11"/>
      <c r="N956" s="11"/>
      <c r="O956" s="11"/>
      <c r="P956" s="11"/>
    </row>
    <row r="957" spans="9:16" x14ac:dyDescent="0.3">
      <c r="I957" s="12" t="s">
        <v>2434</v>
      </c>
      <c r="J957" s="18"/>
      <c r="K957" s="11"/>
      <c r="L957" s="11"/>
      <c r="M957" s="11"/>
      <c r="N957" s="11"/>
      <c r="O957" s="11"/>
      <c r="P957" s="11"/>
    </row>
    <row r="958" spans="9:16" x14ac:dyDescent="0.3">
      <c r="I958" s="12" t="s">
        <v>2435</v>
      </c>
      <c r="J958" s="18"/>
      <c r="K958" s="11"/>
      <c r="L958" s="11"/>
      <c r="M958" s="11"/>
      <c r="N958" s="11"/>
      <c r="O958" s="11"/>
      <c r="P958" s="11"/>
    </row>
    <row r="959" spans="9:16" x14ac:dyDescent="0.3">
      <c r="I959" s="12" t="s">
        <v>2436</v>
      </c>
      <c r="J959" s="18"/>
      <c r="K959" s="11"/>
      <c r="L959" s="11"/>
      <c r="M959" s="11"/>
      <c r="N959" s="11"/>
      <c r="O959" s="11"/>
      <c r="P959" s="11"/>
    </row>
    <row r="960" spans="9:16" x14ac:dyDescent="0.3">
      <c r="I960" s="12" t="s">
        <v>2437</v>
      </c>
      <c r="J960" s="18"/>
      <c r="K960" s="11"/>
      <c r="L960" s="11"/>
      <c r="M960" s="11"/>
      <c r="N960" s="11"/>
      <c r="O960" s="11"/>
      <c r="P960" s="11"/>
    </row>
    <row r="961" spans="9:16" x14ac:dyDescent="0.3">
      <c r="I961" s="12" t="s">
        <v>2438</v>
      </c>
      <c r="J961" s="18"/>
      <c r="K961" s="11"/>
      <c r="L961" s="11"/>
      <c r="M961" s="11"/>
      <c r="N961" s="11"/>
      <c r="O961" s="11"/>
      <c r="P961" s="11"/>
    </row>
    <row r="962" spans="9:16" x14ac:dyDescent="0.3">
      <c r="I962" s="12" t="s">
        <v>2439</v>
      </c>
      <c r="J962" s="18"/>
      <c r="K962" s="11"/>
      <c r="L962" s="11"/>
      <c r="M962" s="11"/>
      <c r="N962" s="11"/>
      <c r="O962" s="11"/>
      <c r="P962" s="11"/>
    </row>
    <row r="963" spans="9:16" x14ac:dyDescent="0.3">
      <c r="I963" s="12" t="s">
        <v>2440</v>
      </c>
      <c r="J963" s="18"/>
      <c r="K963" s="11"/>
      <c r="L963" s="11"/>
      <c r="M963" s="11"/>
      <c r="N963" s="11"/>
      <c r="O963" s="11"/>
      <c r="P963" s="11"/>
    </row>
    <row r="964" spans="9:16" x14ac:dyDescent="0.3">
      <c r="I964" s="12" t="s">
        <v>2441</v>
      </c>
      <c r="J964" s="18"/>
      <c r="K964" s="11"/>
      <c r="L964" s="11"/>
      <c r="M964" s="11"/>
      <c r="N964" s="11"/>
      <c r="O964" s="11"/>
      <c r="P964" s="11"/>
    </row>
    <row r="965" spans="9:16" x14ac:dyDescent="0.3">
      <c r="I965" s="12" t="s">
        <v>2442</v>
      </c>
      <c r="J965" s="18"/>
      <c r="K965" s="11"/>
      <c r="L965" s="11"/>
      <c r="M965" s="11"/>
      <c r="N965" s="11"/>
      <c r="O965" s="11"/>
      <c r="P965" s="11"/>
    </row>
    <row r="966" spans="9:16" x14ac:dyDescent="0.3">
      <c r="I966" s="12" t="s">
        <v>2443</v>
      </c>
      <c r="J966" s="18"/>
      <c r="K966" s="11"/>
      <c r="L966" s="11"/>
      <c r="M966" s="11"/>
      <c r="N966" s="11"/>
      <c r="O966" s="11"/>
      <c r="P966" s="11"/>
    </row>
    <row r="967" spans="9:16" x14ac:dyDescent="0.3">
      <c r="I967" s="12" t="s">
        <v>2444</v>
      </c>
      <c r="J967" s="18"/>
      <c r="K967" s="11"/>
      <c r="L967" s="11"/>
      <c r="M967" s="11"/>
      <c r="N967" s="11"/>
      <c r="O967" s="11"/>
      <c r="P967" s="11"/>
    </row>
    <row r="968" spans="9:16" x14ac:dyDescent="0.3">
      <c r="I968" s="12" t="s">
        <v>2445</v>
      </c>
      <c r="J968" s="18"/>
      <c r="K968" s="11"/>
      <c r="L968" s="11"/>
      <c r="M968" s="11"/>
      <c r="N968" s="11"/>
      <c r="O968" s="11"/>
      <c r="P968" s="11"/>
    </row>
    <row r="969" spans="9:16" x14ac:dyDescent="0.3">
      <c r="I969" s="12" t="s">
        <v>2446</v>
      </c>
      <c r="J969" s="18"/>
      <c r="K969" s="11"/>
      <c r="L969" s="11"/>
      <c r="M969" s="11"/>
      <c r="N969" s="11"/>
      <c r="O969" s="11"/>
      <c r="P969" s="11"/>
    </row>
    <row r="970" spans="9:16" x14ac:dyDescent="0.3">
      <c r="I970" s="12" t="s">
        <v>2447</v>
      </c>
      <c r="J970" s="18"/>
      <c r="K970" s="11"/>
      <c r="L970" s="11"/>
      <c r="M970" s="11"/>
      <c r="N970" s="11"/>
      <c r="O970" s="11"/>
      <c r="P970" s="11"/>
    </row>
    <row r="971" spans="9:16" x14ac:dyDescent="0.3">
      <c r="I971" s="12" t="s">
        <v>2448</v>
      </c>
      <c r="J971" s="18"/>
      <c r="K971" s="11"/>
      <c r="L971" s="11"/>
      <c r="M971" s="11"/>
      <c r="N971" s="11"/>
      <c r="O971" s="11"/>
      <c r="P971" s="11"/>
    </row>
    <row r="972" spans="9:16" x14ac:dyDescent="0.3">
      <c r="I972" s="12" t="s">
        <v>2449</v>
      </c>
      <c r="J972" s="18"/>
      <c r="K972" s="11"/>
      <c r="L972" s="11"/>
      <c r="M972" s="11"/>
      <c r="N972" s="11"/>
      <c r="O972" s="11"/>
      <c r="P972" s="11"/>
    </row>
    <row r="973" spans="9:16" x14ac:dyDescent="0.3">
      <c r="I973" s="12" t="s">
        <v>2450</v>
      </c>
      <c r="J973" s="18"/>
      <c r="K973" s="11"/>
      <c r="L973" s="11"/>
      <c r="M973" s="11"/>
      <c r="N973" s="11"/>
      <c r="O973" s="11"/>
      <c r="P973" s="11"/>
    </row>
    <row r="974" spans="9:16" x14ac:dyDescent="0.3">
      <c r="I974" s="12" t="s">
        <v>2451</v>
      </c>
      <c r="J974" s="18"/>
      <c r="K974" s="11"/>
      <c r="L974" s="11"/>
      <c r="M974" s="11"/>
      <c r="N974" s="11"/>
      <c r="O974" s="11"/>
      <c r="P974" s="11"/>
    </row>
    <row r="975" spans="9:16" x14ac:dyDescent="0.3">
      <c r="I975" s="12" t="s">
        <v>2452</v>
      </c>
      <c r="J975" s="18"/>
      <c r="K975" s="11"/>
      <c r="L975" s="11"/>
      <c r="M975" s="11"/>
      <c r="N975" s="11"/>
      <c r="O975" s="11"/>
      <c r="P975" s="11"/>
    </row>
    <row r="976" spans="9:16" x14ac:dyDescent="0.3">
      <c r="I976" s="12" t="s">
        <v>2453</v>
      </c>
      <c r="J976" s="18"/>
      <c r="K976" s="11"/>
      <c r="L976" s="11"/>
      <c r="M976" s="11"/>
      <c r="N976" s="11"/>
      <c r="O976" s="11"/>
      <c r="P976" s="11"/>
    </row>
    <row r="977" spans="9:16" x14ac:dyDescent="0.3">
      <c r="I977" s="12" t="s">
        <v>2454</v>
      </c>
      <c r="J977" s="18"/>
      <c r="K977" s="11"/>
      <c r="L977" s="11"/>
      <c r="M977" s="11"/>
      <c r="N977" s="11"/>
      <c r="O977" s="11"/>
      <c r="P977" s="11"/>
    </row>
    <row r="978" spans="9:16" x14ac:dyDescent="0.3">
      <c r="I978" s="12" t="s">
        <v>2455</v>
      </c>
      <c r="J978" s="18"/>
      <c r="K978" s="11"/>
      <c r="L978" s="11"/>
      <c r="M978" s="11"/>
      <c r="N978" s="11"/>
      <c r="O978" s="11"/>
      <c r="P978" s="11"/>
    </row>
    <row r="979" spans="9:16" x14ac:dyDescent="0.3">
      <c r="I979" s="12" t="s">
        <v>2456</v>
      </c>
      <c r="J979" s="18"/>
      <c r="K979" s="11"/>
      <c r="L979" s="11"/>
      <c r="M979" s="11"/>
      <c r="N979" s="11"/>
      <c r="O979" s="11"/>
      <c r="P979" s="11"/>
    </row>
    <row r="980" spans="9:16" x14ac:dyDescent="0.3">
      <c r="I980" s="12" t="s">
        <v>2457</v>
      </c>
      <c r="J980" s="18"/>
      <c r="K980" s="11"/>
      <c r="L980" s="11"/>
      <c r="M980" s="11"/>
      <c r="N980" s="11"/>
      <c r="O980" s="11"/>
      <c r="P980" s="11"/>
    </row>
    <row r="981" spans="9:16" x14ac:dyDescent="0.3">
      <c r="I981" s="12" t="s">
        <v>2458</v>
      </c>
      <c r="J981" s="18"/>
      <c r="K981" s="11"/>
      <c r="L981" s="11"/>
      <c r="M981" s="11"/>
      <c r="N981" s="11"/>
      <c r="O981" s="11"/>
      <c r="P981" s="11"/>
    </row>
    <row r="982" spans="9:16" x14ac:dyDescent="0.3">
      <c r="I982" s="12" t="s">
        <v>2459</v>
      </c>
      <c r="J982" s="18"/>
      <c r="K982" s="11"/>
      <c r="L982" s="11"/>
      <c r="M982" s="11"/>
      <c r="N982" s="11"/>
      <c r="O982" s="11"/>
      <c r="P982" s="11"/>
    </row>
    <row r="983" spans="9:16" x14ac:dyDescent="0.3">
      <c r="I983" s="12" t="s">
        <v>2460</v>
      </c>
      <c r="J983" s="18"/>
      <c r="K983" s="11"/>
      <c r="L983" s="11"/>
      <c r="M983" s="11"/>
      <c r="N983" s="11"/>
      <c r="O983" s="11"/>
      <c r="P983" s="11"/>
    </row>
    <row r="984" spans="9:16" x14ac:dyDescent="0.3">
      <c r="I984" s="12" t="s">
        <v>2461</v>
      </c>
      <c r="J984" s="18"/>
      <c r="K984" s="11"/>
      <c r="L984" s="11"/>
      <c r="M984" s="11"/>
      <c r="N984" s="11"/>
      <c r="O984" s="11"/>
      <c r="P984" s="11"/>
    </row>
    <row r="985" spans="9:16" x14ac:dyDescent="0.3">
      <c r="I985" s="12" t="s">
        <v>2462</v>
      </c>
      <c r="J985" s="18"/>
      <c r="K985" s="11"/>
      <c r="L985" s="11"/>
      <c r="M985" s="11"/>
      <c r="N985" s="11"/>
      <c r="O985" s="11"/>
      <c r="P985" s="11"/>
    </row>
    <row r="986" spans="9:16" x14ac:dyDescent="0.3">
      <c r="I986" s="12" t="s">
        <v>2463</v>
      </c>
      <c r="J986" s="18"/>
      <c r="K986" s="11"/>
      <c r="L986" s="11"/>
      <c r="M986" s="11"/>
      <c r="N986" s="11"/>
      <c r="O986" s="11"/>
      <c r="P986" s="11"/>
    </row>
    <row r="987" spans="9:16" x14ac:dyDescent="0.3">
      <c r="I987" s="12" t="s">
        <v>2464</v>
      </c>
      <c r="J987" s="18"/>
      <c r="K987" s="11"/>
      <c r="L987" s="11"/>
      <c r="M987" s="11"/>
      <c r="N987" s="11"/>
      <c r="O987" s="11"/>
      <c r="P987" s="11"/>
    </row>
    <row r="988" spans="9:16" x14ac:dyDescent="0.3">
      <c r="I988" s="12" t="s">
        <v>2465</v>
      </c>
      <c r="J988" s="18"/>
      <c r="K988" s="11"/>
      <c r="L988" s="11"/>
      <c r="M988" s="11"/>
      <c r="N988" s="11"/>
      <c r="O988" s="11"/>
      <c r="P988" s="11"/>
    </row>
    <row r="989" spans="9:16" x14ac:dyDescent="0.3">
      <c r="I989" s="12" t="s">
        <v>2466</v>
      </c>
      <c r="J989" s="18"/>
      <c r="K989" s="11"/>
      <c r="L989" s="11"/>
      <c r="M989" s="11"/>
      <c r="N989" s="11"/>
      <c r="O989" s="11"/>
      <c r="P989" s="11"/>
    </row>
    <row r="990" spans="9:16" x14ac:dyDescent="0.3">
      <c r="I990" s="12" t="s">
        <v>2467</v>
      </c>
      <c r="J990" s="18"/>
      <c r="K990" s="11"/>
      <c r="L990" s="11"/>
      <c r="M990" s="11"/>
      <c r="N990" s="11"/>
      <c r="O990" s="11"/>
      <c r="P990" s="11"/>
    </row>
    <row r="991" spans="9:16" x14ac:dyDescent="0.3">
      <c r="I991" s="12" t="s">
        <v>2468</v>
      </c>
      <c r="J991" s="18"/>
      <c r="K991" s="11"/>
      <c r="L991" s="11"/>
      <c r="M991" s="11"/>
      <c r="N991" s="11"/>
      <c r="O991" s="11"/>
      <c r="P991" s="11"/>
    </row>
    <row r="992" spans="9:16" x14ac:dyDescent="0.3">
      <c r="I992" s="12" t="s">
        <v>2469</v>
      </c>
      <c r="J992" s="18"/>
      <c r="K992" s="11"/>
      <c r="L992" s="11"/>
      <c r="M992" s="11"/>
      <c r="N992" s="11"/>
      <c r="O992" s="11"/>
      <c r="P992" s="11"/>
    </row>
    <row r="993" spans="9:16" x14ac:dyDescent="0.3">
      <c r="I993" s="12" t="s">
        <v>2470</v>
      </c>
      <c r="J993" s="18"/>
      <c r="K993" s="11"/>
      <c r="L993" s="11"/>
      <c r="M993" s="11"/>
      <c r="N993" s="11"/>
      <c r="O993" s="11"/>
      <c r="P993" s="11"/>
    </row>
    <row r="994" spans="9:16" x14ac:dyDescent="0.3">
      <c r="I994" s="12" t="s">
        <v>2471</v>
      </c>
      <c r="J994" s="18"/>
      <c r="K994" s="11"/>
      <c r="L994" s="11"/>
      <c r="M994" s="11"/>
      <c r="N994" s="11"/>
      <c r="O994" s="11"/>
      <c r="P994" s="11"/>
    </row>
    <row r="995" spans="9:16" x14ac:dyDescent="0.3">
      <c r="I995" s="12" t="s">
        <v>2472</v>
      </c>
      <c r="J995" s="18"/>
      <c r="K995" s="11"/>
      <c r="L995" s="11"/>
      <c r="M995" s="11"/>
      <c r="N995" s="11"/>
      <c r="O995" s="11"/>
      <c r="P995" s="11"/>
    </row>
    <row r="996" spans="9:16" x14ac:dyDescent="0.3">
      <c r="I996" s="12" t="s">
        <v>2473</v>
      </c>
      <c r="J996" s="18"/>
      <c r="K996" s="11"/>
      <c r="L996" s="11"/>
      <c r="M996" s="11"/>
      <c r="N996" s="11"/>
      <c r="O996" s="11"/>
      <c r="P996" s="11"/>
    </row>
    <row r="997" spans="9:16" x14ac:dyDescent="0.3">
      <c r="I997" s="12" t="s">
        <v>2474</v>
      </c>
      <c r="J997" s="18"/>
      <c r="K997" s="11"/>
      <c r="L997" s="11"/>
      <c r="M997" s="11"/>
      <c r="N997" s="11"/>
      <c r="O997" s="11"/>
      <c r="P997" s="11"/>
    </row>
    <row r="998" spans="9:16" x14ac:dyDescent="0.3">
      <c r="I998" s="12" t="s">
        <v>2475</v>
      </c>
      <c r="J998" s="18"/>
      <c r="K998" s="11"/>
      <c r="L998" s="11"/>
      <c r="M998" s="11"/>
      <c r="N998" s="11"/>
      <c r="O998" s="11"/>
      <c r="P998" s="11"/>
    </row>
    <row r="999" spans="9:16" x14ac:dyDescent="0.3">
      <c r="I999" s="12" t="s">
        <v>2476</v>
      </c>
      <c r="J999" s="18"/>
      <c r="K999" s="11"/>
      <c r="L999" s="11"/>
      <c r="M999" s="11"/>
      <c r="N999" s="11"/>
      <c r="O999" s="11"/>
      <c r="P999" s="11"/>
    </row>
    <row r="1000" spans="9:16" x14ac:dyDescent="0.3">
      <c r="I1000" s="12" t="s">
        <v>2477</v>
      </c>
      <c r="J1000" s="18"/>
      <c r="K1000" s="11"/>
      <c r="L1000" s="11"/>
      <c r="M1000" s="11"/>
      <c r="N1000" s="11"/>
      <c r="O1000" s="11"/>
      <c r="P1000" s="11"/>
    </row>
    <row r="1001" spans="9:16" x14ac:dyDescent="0.3">
      <c r="I1001" s="12" t="s">
        <v>2478</v>
      </c>
      <c r="J1001" s="18"/>
      <c r="K1001" s="11"/>
      <c r="L1001" s="11"/>
      <c r="M1001" s="11"/>
      <c r="N1001" s="11"/>
      <c r="O1001" s="11"/>
      <c r="P1001" s="11"/>
    </row>
    <row r="1002" spans="9:16" x14ac:dyDescent="0.3">
      <c r="I1002" s="12" t="s">
        <v>2479</v>
      </c>
      <c r="J1002" s="18"/>
      <c r="K1002" s="11"/>
      <c r="L1002" s="11"/>
      <c r="M1002" s="11"/>
      <c r="N1002" s="11"/>
      <c r="O1002" s="11"/>
      <c r="P1002" s="11"/>
    </row>
    <row r="1003" spans="9:16" x14ac:dyDescent="0.3">
      <c r="I1003" s="12" t="s">
        <v>2480</v>
      </c>
      <c r="J1003" s="18"/>
      <c r="K1003" s="11"/>
      <c r="L1003" s="11"/>
      <c r="M1003" s="11"/>
      <c r="N1003" s="11"/>
      <c r="O1003" s="11"/>
      <c r="P1003" s="11"/>
    </row>
    <row r="1004" spans="9:16" x14ac:dyDescent="0.3">
      <c r="I1004" s="12" t="s">
        <v>2481</v>
      </c>
      <c r="J1004" s="18"/>
      <c r="K1004" s="11"/>
      <c r="L1004" s="11"/>
      <c r="M1004" s="11"/>
      <c r="N1004" s="11"/>
      <c r="O1004" s="11"/>
      <c r="P1004" s="11"/>
    </row>
    <row r="1005" spans="9:16" x14ac:dyDescent="0.3">
      <c r="I1005" s="12" t="s">
        <v>2482</v>
      </c>
      <c r="J1005" s="18"/>
      <c r="K1005" s="11"/>
      <c r="L1005" s="11"/>
      <c r="M1005" s="11"/>
      <c r="N1005" s="11"/>
      <c r="O1005" s="11"/>
      <c r="P1005" s="11"/>
    </row>
    <row r="1006" spans="9:16" x14ac:dyDescent="0.3">
      <c r="I1006" s="12" t="s">
        <v>2483</v>
      </c>
      <c r="J1006" s="18"/>
      <c r="K1006" s="11"/>
      <c r="L1006" s="11"/>
      <c r="M1006" s="11"/>
      <c r="N1006" s="11"/>
      <c r="O1006" s="11"/>
      <c r="P1006" s="11"/>
    </row>
    <row r="1007" spans="9:16" x14ac:dyDescent="0.3">
      <c r="I1007" s="12" t="s">
        <v>2484</v>
      </c>
      <c r="J1007" s="18"/>
      <c r="K1007" s="11"/>
      <c r="L1007" s="11"/>
      <c r="M1007" s="11"/>
      <c r="N1007" s="11"/>
      <c r="O1007" s="11"/>
      <c r="P1007" s="11"/>
    </row>
    <row r="1008" spans="9:16" x14ac:dyDescent="0.3">
      <c r="I1008" s="12" t="s">
        <v>2485</v>
      </c>
      <c r="J1008" s="18"/>
      <c r="K1008" s="11"/>
      <c r="L1008" s="11"/>
      <c r="M1008" s="11"/>
      <c r="N1008" s="11"/>
      <c r="O1008" s="11"/>
      <c r="P1008" s="11"/>
    </row>
    <row r="1009" spans="9:16" x14ac:dyDescent="0.3">
      <c r="I1009" s="12" t="s">
        <v>2486</v>
      </c>
      <c r="J1009" s="18"/>
      <c r="K1009" s="11"/>
      <c r="L1009" s="11"/>
      <c r="M1009" s="11"/>
      <c r="N1009" s="11"/>
      <c r="O1009" s="11"/>
      <c r="P1009" s="11"/>
    </row>
    <row r="1010" spans="9:16" x14ac:dyDescent="0.3">
      <c r="I1010" s="12" t="s">
        <v>2487</v>
      </c>
      <c r="J1010" s="18"/>
      <c r="K1010" s="11"/>
      <c r="L1010" s="11"/>
      <c r="M1010" s="11"/>
      <c r="N1010" s="11"/>
      <c r="O1010" s="11"/>
      <c r="P1010" s="11"/>
    </row>
    <row r="1011" spans="9:16" x14ac:dyDescent="0.3">
      <c r="I1011" s="12" t="s">
        <v>2488</v>
      </c>
      <c r="J1011" s="18"/>
      <c r="K1011" s="11"/>
      <c r="L1011" s="11"/>
      <c r="M1011" s="11"/>
      <c r="N1011" s="11"/>
      <c r="O1011" s="11"/>
      <c r="P1011" s="11"/>
    </row>
    <row r="1012" spans="9:16" x14ac:dyDescent="0.3">
      <c r="I1012" s="12" t="s">
        <v>2489</v>
      </c>
      <c r="J1012" s="18"/>
      <c r="K1012" s="11"/>
      <c r="L1012" s="11"/>
      <c r="M1012" s="11"/>
      <c r="N1012" s="11"/>
      <c r="O1012" s="11"/>
      <c r="P1012" s="11"/>
    </row>
    <row r="1013" spans="9:16" x14ac:dyDescent="0.3">
      <c r="I1013" s="12" t="s">
        <v>2490</v>
      </c>
      <c r="J1013" s="18"/>
      <c r="K1013" s="11"/>
      <c r="L1013" s="11"/>
      <c r="M1013" s="11"/>
      <c r="N1013" s="11"/>
      <c r="O1013" s="11"/>
      <c r="P1013" s="11"/>
    </row>
    <row r="1014" spans="9:16" x14ac:dyDescent="0.3">
      <c r="I1014" s="12" t="s">
        <v>2491</v>
      </c>
      <c r="J1014" s="18"/>
      <c r="K1014" s="11"/>
      <c r="L1014" s="11"/>
      <c r="M1014" s="11"/>
      <c r="N1014" s="11"/>
      <c r="O1014" s="11"/>
      <c r="P1014" s="11"/>
    </row>
    <row r="1015" spans="9:16" x14ac:dyDescent="0.3">
      <c r="I1015" s="12" t="s">
        <v>2492</v>
      </c>
      <c r="J1015" s="18"/>
      <c r="K1015" s="11"/>
      <c r="L1015" s="11"/>
      <c r="M1015" s="11"/>
      <c r="N1015" s="11"/>
      <c r="O1015" s="11"/>
      <c r="P1015" s="11"/>
    </row>
    <row r="1016" spans="9:16" x14ac:dyDescent="0.3">
      <c r="I1016" s="12" t="s">
        <v>2493</v>
      </c>
      <c r="J1016" s="18"/>
      <c r="K1016" s="11"/>
      <c r="L1016" s="11"/>
      <c r="M1016" s="11"/>
      <c r="N1016" s="11"/>
      <c r="O1016" s="11"/>
      <c r="P1016" s="11"/>
    </row>
    <row r="1017" spans="9:16" x14ac:dyDescent="0.3">
      <c r="I1017" s="12" t="s">
        <v>2494</v>
      </c>
      <c r="J1017" s="18"/>
      <c r="K1017" s="11"/>
      <c r="L1017" s="11"/>
      <c r="M1017" s="11"/>
      <c r="N1017" s="11"/>
      <c r="O1017" s="11"/>
      <c r="P1017" s="11"/>
    </row>
    <row r="1018" spans="9:16" x14ac:dyDescent="0.3">
      <c r="I1018" s="12" t="s">
        <v>2495</v>
      </c>
      <c r="J1018" s="18"/>
      <c r="K1018" s="11"/>
      <c r="L1018" s="11"/>
      <c r="M1018" s="11"/>
      <c r="N1018" s="11"/>
      <c r="O1018" s="11"/>
      <c r="P1018" s="11"/>
    </row>
    <row r="1019" spans="9:16" x14ac:dyDescent="0.3">
      <c r="I1019" s="12" t="s">
        <v>2496</v>
      </c>
      <c r="J1019" s="18"/>
      <c r="K1019" s="11"/>
      <c r="L1019" s="11"/>
      <c r="M1019" s="11"/>
      <c r="N1019" s="11"/>
      <c r="O1019" s="11"/>
      <c r="P1019" s="11"/>
    </row>
    <row r="1020" spans="9:16" x14ac:dyDescent="0.3">
      <c r="I1020" s="12" t="s">
        <v>2497</v>
      </c>
      <c r="J1020" s="18"/>
      <c r="K1020" s="11"/>
      <c r="L1020" s="11"/>
      <c r="M1020" s="11"/>
      <c r="N1020" s="11"/>
      <c r="O1020" s="11"/>
      <c r="P1020" s="11"/>
    </row>
    <row r="1021" spans="9:16" x14ac:dyDescent="0.3">
      <c r="I1021" s="12" t="s">
        <v>2498</v>
      </c>
      <c r="J1021" s="18"/>
      <c r="K1021" s="11"/>
      <c r="L1021" s="11"/>
      <c r="M1021" s="11"/>
      <c r="N1021" s="11"/>
      <c r="O1021" s="11"/>
      <c r="P1021" s="11"/>
    </row>
    <row r="1022" spans="9:16" x14ac:dyDescent="0.3">
      <c r="I1022" s="12" t="s">
        <v>2499</v>
      </c>
      <c r="J1022" s="18"/>
      <c r="K1022" s="11"/>
      <c r="L1022" s="11"/>
      <c r="M1022" s="11"/>
      <c r="N1022" s="11"/>
      <c r="O1022" s="11"/>
      <c r="P1022" s="11"/>
    </row>
    <row r="1023" spans="9:16" x14ac:dyDescent="0.3">
      <c r="I1023" s="12" t="s">
        <v>2500</v>
      </c>
      <c r="J1023" s="18"/>
      <c r="K1023" s="11"/>
      <c r="L1023" s="11"/>
      <c r="M1023" s="11"/>
      <c r="N1023" s="11"/>
      <c r="O1023" s="11"/>
      <c r="P1023" s="11"/>
    </row>
    <row r="1024" spans="9:16" x14ac:dyDescent="0.3">
      <c r="I1024" s="12" t="s">
        <v>2501</v>
      </c>
      <c r="J1024" s="18"/>
      <c r="K1024" s="11"/>
      <c r="L1024" s="11"/>
      <c r="M1024" s="11"/>
      <c r="N1024" s="11"/>
      <c r="O1024" s="11"/>
      <c r="P1024" s="11"/>
    </row>
    <row r="1025" spans="9:16" x14ac:dyDescent="0.3">
      <c r="I1025" s="12" t="s">
        <v>2502</v>
      </c>
      <c r="J1025" s="18"/>
      <c r="K1025" s="11"/>
      <c r="L1025" s="11"/>
      <c r="M1025" s="11"/>
      <c r="N1025" s="11"/>
      <c r="O1025" s="11"/>
      <c r="P1025" s="11"/>
    </row>
    <row r="1026" spans="9:16" x14ac:dyDescent="0.3">
      <c r="I1026" s="12" t="s">
        <v>2503</v>
      </c>
      <c r="J1026" s="18"/>
      <c r="K1026" s="11"/>
      <c r="L1026" s="11"/>
      <c r="M1026" s="11"/>
      <c r="N1026" s="11"/>
      <c r="O1026" s="11"/>
      <c r="P1026" s="11"/>
    </row>
    <row r="1027" spans="9:16" x14ac:dyDescent="0.3">
      <c r="I1027" s="12" t="s">
        <v>2504</v>
      </c>
      <c r="J1027" s="18"/>
      <c r="K1027" s="11"/>
      <c r="L1027" s="11"/>
      <c r="M1027" s="11"/>
      <c r="N1027" s="11"/>
      <c r="O1027" s="11"/>
      <c r="P1027" s="11"/>
    </row>
    <row r="1028" spans="9:16" x14ac:dyDescent="0.3">
      <c r="I1028" s="12" t="s">
        <v>2505</v>
      </c>
      <c r="J1028" s="18"/>
      <c r="K1028" s="11"/>
      <c r="L1028" s="11"/>
      <c r="M1028" s="11"/>
      <c r="N1028" s="11"/>
      <c r="O1028" s="11"/>
      <c r="P1028" s="11"/>
    </row>
    <row r="1029" spans="9:16" x14ac:dyDescent="0.3">
      <c r="I1029" s="12" t="s">
        <v>2506</v>
      </c>
      <c r="J1029" s="18"/>
      <c r="K1029" s="11"/>
      <c r="L1029" s="11"/>
      <c r="M1029" s="11"/>
      <c r="N1029" s="11"/>
      <c r="O1029" s="11"/>
      <c r="P1029" s="11"/>
    </row>
    <row r="1030" spans="9:16" x14ac:dyDescent="0.3">
      <c r="I1030" s="12" t="s">
        <v>2507</v>
      </c>
      <c r="J1030" s="18"/>
      <c r="K1030" s="11"/>
      <c r="L1030" s="11"/>
      <c r="M1030" s="11"/>
      <c r="N1030" s="11"/>
      <c r="O1030" s="11"/>
      <c r="P1030" s="11"/>
    </row>
    <row r="1031" spans="9:16" x14ac:dyDescent="0.3">
      <c r="I1031" s="12" t="s">
        <v>2508</v>
      </c>
      <c r="J1031" s="18"/>
      <c r="K1031" s="11"/>
      <c r="L1031" s="11"/>
      <c r="M1031" s="11"/>
      <c r="N1031" s="11"/>
      <c r="O1031" s="11"/>
      <c r="P1031" s="11"/>
    </row>
    <row r="1032" spans="9:16" x14ac:dyDescent="0.3">
      <c r="I1032" s="12" t="s">
        <v>2509</v>
      </c>
      <c r="J1032" s="18"/>
      <c r="K1032" s="11"/>
      <c r="L1032" s="11"/>
      <c r="M1032" s="11"/>
      <c r="N1032" s="11"/>
      <c r="O1032" s="11"/>
      <c r="P1032" s="11"/>
    </row>
    <row r="1033" spans="9:16" x14ac:dyDescent="0.3">
      <c r="I1033" s="12" t="s">
        <v>2510</v>
      </c>
      <c r="J1033" s="18"/>
      <c r="K1033" s="11"/>
      <c r="L1033" s="11"/>
      <c r="M1033" s="11"/>
      <c r="N1033" s="11"/>
      <c r="O1033" s="11"/>
      <c r="P1033" s="11"/>
    </row>
    <row r="1034" spans="9:16" x14ac:dyDescent="0.3">
      <c r="I1034" s="12" t="s">
        <v>2511</v>
      </c>
      <c r="J1034" s="18"/>
      <c r="K1034" s="11"/>
      <c r="L1034" s="11"/>
      <c r="M1034" s="11"/>
      <c r="N1034" s="11"/>
      <c r="O1034" s="11"/>
      <c r="P1034" s="11"/>
    </row>
    <row r="1035" spans="9:16" x14ac:dyDescent="0.3">
      <c r="I1035" s="12" t="s">
        <v>2512</v>
      </c>
      <c r="J1035" s="18"/>
      <c r="K1035" s="11"/>
      <c r="L1035" s="11"/>
      <c r="M1035" s="11"/>
      <c r="N1035" s="11"/>
      <c r="O1035" s="11"/>
      <c r="P1035" s="11"/>
    </row>
    <row r="1036" spans="9:16" x14ac:dyDescent="0.3">
      <c r="I1036" s="12" t="s">
        <v>2513</v>
      </c>
      <c r="J1036" s="18"/>
      <c r="K1036" s="11"/>
      <c r="L1036" s="11"/>
      <c r="M1036" s="11"/>
      <c r="N1036" s="11"/>
      <c r="O1036" s="11"/>
      <c r="P1036" s="11"/>
    </row>
    <row r="1037" spans="9:16" x14ac:dyDescent="0.3">
      <c r="I1037" s="12" t="s">
        <v>2514</v>
      </c>
      <c r="J1037" s="18"/>
      <c r="K1037" s="11"/>
      <c r="L1037" s="11"/>
      <c r="M1037" s="11"/>
      <c r="N1037" s="11"/>
      <c r="O1037" s="11"/>
      <c r="P1037" s="11"/>
    </row>
    <row r="1038" spans="9:16" x14ac:dyDescent="0.3">
      <c r="I1038" s="12" t="s">
        <v>2515</v>
      </c>
      <c r="J1038" s="18"/>
      <c r="K1038" s="11"/>
      <c r="L1038" s="11"/>
      <c r="M1038" s="11"/>
      <c r="N1038" s="11"/>
      <c r="O1038" s="11"/>
      <c r="P1038" s="11"/>
    </row>
    <row r="1039" spans="9:16" x14ac:dyDescent="0.3">
      <c r="I1039" s="12" t="s">
        <v>2516</v>
      </c>
      <c r="J1039" s="18"/>
      <c r="K1039" s="11"/>
      <c r="L1039" s="11"/>
      <c r="M1039" s="11"/>
      <c r="N1039" s="11"/>
      <c r="O1039" s="11"/>
      <c r="P1039" s="11"/>
    </row>
    <row r="1040" spans="9:16" x14ac:dyDescent="0.3">
      <c r="I1040" s="12" t="s">
        <v>2517</v>
      </c>
      <c r="J1040" s="18"/>
      <c r="K1040" s="11"/>
      <c r="L1040" s="11"/>
      <c r="M1040" s="11"/>
      <c r="N1040" s="11"/>
      <c r="O1040" s="11"/>
      <c r="P1040" s="11"/>
    </row>
    <row r="1041" spans="9:16" x14ac:dyDescent="0.3">
      <c r="I1041" s="12" t="s">
        <v>2518</v>
      </c>
      <c r="J1041" s="18"/>
      <c r="K1041" s="11"/>
      <c r="L1041" s="11"/>
      <c r="M1041" s="11"/>
      <c r="N1041" s="11"/>
      <c r="O1041" s="11"/>
      <c r="P1041" s="11"/>
    </row>
    <row r="1042" spans="9:16" x14ac:dyDescent="0.3">
      <c r="I1042" s="12" t="s">
        <v>2519</v>
      </c>
      <c r="J1042" s="18"/>
      <c r="K1042" s="11"/>
      <c r="L1042" s="11"/>
      <c r="M1042" s="11"/>
      <c r="N1042" s="11"/>
      <c r="O1042" s="11"/>
      <c r="P1042" s="11"/>
    </row>
    <row r="1043" spans="9:16" x14ac:dyDescent="0.3">
      <c r="I1043" s="12" t="s">
        <v>2520</v>
      </c>
      <c r="J1043" s="18"/>
      <c r="K1043" s="11"/>
      <c r="L1043" s="11"/>
      <c r="M1043" s="11"/>
      <c r="N1043" s="11"/>
      <c r="O1043" s="11"/>
      <c r="P1043" s="11"/>
    </row>
    <row r="1044" spans="9:16" x14ac:dyDescent="0.3">
      <c r="I1044" s="12" t="s">
        <v>2521</v>
      </c>
      <c r="J1044" s="18"/>
      <c r="K1044" s="11"/>
      <c r="L1044" s="11"/>
      <c r="M1044" s="11"/>
      <c r="N1044" s="11"/>
      <c r="O1044" s="11"/>
      <c r="P1044" s="11"/>
    </row>
    <row r="1045" spans="9:16" x14ac:dyDescent="0.3">
      <c r="I1045" s="12" t="s">
        <v>2522</v>
      </c>
      <c r="J1045" s="18"/>
      <c r="K1045" s="11"/>
      <c r="L1045" s="11"/>
      <c r="M1045" s="11"/>
      <c r="N1045" s="11"/>
      <c r="O1045" s="11"/>
      <c r="P1045" s="11"/>
    </row>
    <row r="1046" spans="9:16" x14ac:dyDescent="0.3">
      <c r="I1046" s="12" t="s">
        <v>2523</v>
      </c>
      <c r="J1046" s="18"/>
      <c r="K1046" s="11"/>
      <c r="L1046" s="11"/>
      <c r="M1046" s="11"/>
      <c r="N1046" s="11"/>
      <c r="O1046" s="11"/>
      <c r="P1046" s="11"/>
    </row>
    <row r="1047" spans="9:16" x14ac:dyDescent="0.3">
      <c r="I1047" s="12" t="s">
        <v>2524</v>
      </c>
      <c r="J1047" s="18"/>
      <c r="K1047" s="11"/>
      <c r="L1047" s="11"/>
      <c r="M1047" s="11"/>
      <c r="N1047" s="11"/>
      <c r="O1047" s="11"/>
      <c r="P1047" s="11"/>
    </row>
    <row r="1048" spans="9:16" x14ac:dyDescent="0.3">
      <c r="I1048" s="12" t="s">
        <v>2525</v>
      </c>
      <c r="J1048" s="18"/>
      <c r="K1048" s="11"/>
      <c r="L1048" s="11"/>
      <c r="M1048" s="11"/>
      <c r="N1048" s="11"/>
      <c r="O1048" s="11"/>
      <c r="P1048" s="11"/>
    </row>
    <row r="1049" spans="9:16" x14ac:dyDescent="0.3">
      <c r="I1049" s="12" t="s">
        <v>2526</v>
      </c>
      <c r="J1049" s="18"/>
      <c r="K1049" s="11"/>
      <c r="L1049" s="11"/>
      <c r="M1049" s="11"/>
      <c r="N1049" s="11"/>
      <c r="O1049" s="11"/>
      <c r="P1049" s="11"/>
    </row>
    <row r="1050" spans="9:16" x14ac:dyDescent="0.3">
      <c r="I1050" s="12" t="s">
        <v>2527</v>
      </c>
      <c r="J1050" s="18"/>
      <c r="K1050" s="11"/>
      <c r="L1050" s="11"/>
      <c r="M1050" s="11"/>
      <c r="N1050" s="11"/>
      <c r="O1050" s="11"/>
      <c r="P1050" s="11"/>
    </row>
    <row r="1051" spans="9:16" x14ac:dyDescent="0.3">
      <c r="I1051" s="12" t="s">
        <v>2528</v>
      </c>
      <c r="J1051" s="18"/>
      <c r="K1051" s="11"/>
      <c r="L1051" s="11"/>
      <c r="M1051" s="11"/>
      <c r="N1051" s="11"/>
      <c r="O1051" s="11"/>
      <c r="P1051" s="11"/>
    </row>
    <row r="1052" spans="9:16" x14ac:dyDescent="0.3">
      <c r="I1052" s="12" t="s">
        <v>2529</v>
      </c>
      <c r="J1052" s="18"/>
      <c r="K1052" s="11"/>
      <c r="L1052" s="11"/>
      <c r="M1052" s="11"/>
      <c r="N1052" s="11"/>
      <c r="O1052" s="11"/>
      <c r="P1052" s="11"/>
    </row>
    <row r="1053" spans="9:16" x14ac:dyDescent="0.3">
      <c r="I1053" s="12" t="s">
        <v>2530</v>
      </c>
      <c r="J1053" s="18"/>
      <c r="K1053" s="11"/>
      <c r="L1053" s="11"/>
      <c r="M1053" s="11"/>
      <c r="N1053" s="11"/>
      <c r="O1053" s="11"/>
      <c r="P1053" s="11"/>
    </row>
    <row r="1054" spans="9:16" x14ac:dyDescent="0.3">
      <c r="I1054" s="12" t="s">
        <v>2531</v>
      </c>
      <c r="J1054" s="18"/>
      <c r="K1054" s="11"/>
      <c r="L1054" s="11"/>
      <c r="M1054" s="11"/>
      <c r="N1054" s="11"/>
      <c r="O1054" s="11"/>
      <c r="P1054" s="11"/>
    </row>
    <row r="1055" spans="9:16" x14ac:dyDescent="0.3">
      <c r="I1055" s="12" t="s">
        <v>2532</v>
      </c>
      <c r="J1055" s="18"/>
      <c r="K1055" s="11"/>
      <c r="L1055" s="11"/>
      <c r="M1055" s="11"/>
      <c r="N1055" s="11"/>
      <c r="O1055" s="11"/>
      <c r="P1055" s="11"/>
    </row>
    <row r="1056" spans="9:16" x14ac:dyDescent="0.3">
      <c r="I1056" s="12" t="s">
        <v>2533</v>
      </c>
      <c r="J1056" s="18"/>
      <c r="K1056" s="11"/>
      <c r="L1056" s="11"/>
      <c r="M1056" s="11"/>
      <c r="N1056" s="11"/>
      <c r="O1056" s="11"/>
      <c r="P1056" s="11"/>
    </row>
    <row r="1057" spans="9:16" x14ac:dyDescent="0.3">
      <c r="I1057" s="12" t="s">
        <v>2534</v>
      </c>
      <c r="J1057" s="18"/>
      <c r="K1057" s="11"/>
      <c r="L1057" s="11"/>
      <c r="M1057" s="11"/>
      <c r="N1057" s="11"/>
      <c r="O1057" s="11"/>
      <c r="P1057" s="11"/>
    </row>
    <row r="1058" spans="9:16" x14ac:dyDescent="0.3">
      <c r="I1058" s="12" t="s">
        <v>2535</v>
      </c>
      <c r="J1058" s="18"/>
      <c r="K1058" s="11"/>
      <c r="L1058" s="11"/>
      <c r="M1058" s="11"/>
      <c r="N1058" s="11"/>
      <c r="O1058" s="11"/>
      <c r="P1058" s="11"/>
    </row>
    <row r="1059" spans="9:16" x14ac:dyDescent="0.3">
      <c r="I1059" s="12" t="s">
        <v>2536</v>
      </c>
      <c r="J1059" s="18"/>
      <c r="K1059" s="11"/>
      <c r="L1059" s="11"/>
      <c r="M1059" s="11"/>
      <c r="N1059" s="11"/>
      <c r="O1059" s="11"/>
      <c r="P1059" s="11"/>
    </row>
    <row r="1060" spans="9:16" x14ac:dyDescent="0.3">
      <c r="I1060" s="12" t="s">
        <v>2537</v>
      </c>
      <c r="J1060" s="18"/>
      <c r="K1060" s="11"/>
      <c r="L1060" s="11"/>
      <c r="M1060" s="11"/>
      <c r="N1060" s="11"/>
      <c r="O1060" s="11"/>
      <c r="P1060" s="11"/>
    </row>
    <row r="1061" spans="9:16" x14ac:dyDescent="0.3">
      <c r="I1061" s="12" t="s">
        <v>2538</v>
      </c>
      <c r="J1061" s="18"/>
      <c r="K1061" s="11"/>
      <c r="L1061" s="11"/>
      <c r="M1061" s="11"/>
      <c r="N1061" s="11"/>
      <c r="O1061" s="11"/>
      <c r="P1061" s="11"/>
    </row>
    <row r="1062" spans="9:16" x14ac:dyDescent="0.3">
      <c r="I1062" s="12" t="s">
        <v>2539</v>
      </c>
      <c r="J1062" s="18"/>
      <c r="K1062" s="11"/>
      <c r="L1062" s="11"/>
      <c r="M1062" s="11"/>
      <c r="N1062" s="11"/>
      <c r="O1062" s="11"/>
      <c r="P1062" s="11"/>
    </row>
    <row r="1063" spans="9:16" x14ac:dyDescent="0.3">
      <c r="I1063" s="12" t="s">
        <v>2540</v>
      </c>
      <c r="J1063" s="18"/>
      <c r="K1063" s="11"/>
      <c r="L1063" s="11"/>
      <c r="M1063" s="11"/>
      <c r="N1063" s="11"/>
      <c r="O1063" s="11"/>
      <c r="P1063" s="11"/>
    </row>
    <row r="1064" spans="9:16" x14ac:dyDescent="0.3">
      <c r="I1064" s="12" t="s">
        <v>2541</v>
      </c>
      <c r="J1064" s="18"/>
      <c r="K1064" s="11"/>
      <c r="L1064" s="11"/>
      <c r="M1064" s="11"/>
      <c r="N1064" s="11"/>
      <c r="O1064" s="11"/>
      <c r="P1064" s="11"/>
    </row>
    <row r="1065" spans="9:16" x14ac:dyDescent="0.3">
      <c r="I1065" s="12" t="s">
        <v>2542</v>
      </c>
      <c r="J1065" s="18"/>
      <c r="K1065" s="11"/>
      <c r="L1065" s="11"/>
      <c r="M1065" s="11"/>
      <c r="N1065" s="11"/>
      <c r="O1065" s="11"/>
      <c r="P1065" s="11"/>
    </row>
    <row r="1066" spans="9:16" x14ac:dyDescent="0.3">
      <c r="I1066" s="12" t="s">
        <v>2543</v>
      </c>
      <c r="J1066" s="18"/>
      <c r="K1066" s="11"/>
      <c r="L1066" s="11"/>
      <c r="M1066" s="11"/>
      <c r="N1066" s="11"/>
      <c r="O1066" s="11"/>
      <c r="P1066" s="11"/>
    </row>
    <row r="1067" spans="9:16" x14ac:dyDescent="0.3">
      <c r="I1067" s="12" t="s">
        <v>2544</v>
      </c>
      <c r="J1067" s="18"/>
      <c r="K1067" s="11"/>
      <c r="L1067" s="11"/>
      <c r="M1067" s="11"/>
      <c r="N1067" s="11"/>
      <c r="O1067" s="11"/>
      <c r="P1067" s="11"/>
    </row>
    <row r="1068" spans="9:16" x14ac:dyDescent="0.3">
      <c r="I1068" s="12" t="s">
        <v>2545</v>
      </c>
      <c r="J1068" s="18"/>
      <c r="K1068" s="11"/>
      <c r="L1068" s="11"/>
      <c r="M1068" s="11"/>
      <c r="N1068" s="11"/>
      <c r="O1068" s="11"/>
      <c r="P1068" s="11"/>
    </row>
    <row r="1069" spans="9:16" x14ac:dyDescent="0.3">
      <c r="I1069" s="12" t="s">
        <v>2546</v>
      </c>
      <c r="J1069" s="18"/>
      <c r="K1069" s="11"/>
      <c r="L1069" s="11"/>
      <c r="M1069" s="11"/>
      <c r="N1069" s="11"/>
      <c r="O1069" s="11"/>
      <c r="P1069" s="11"/>
    </row>
    <row r="1070" spans="9:16" x14ac:dyDescent="0.3">
      <c r="I1070" s="12" t="s">
        <v>2547</v>
      </c>
      <c r="J1070" s="18"/>
      <c r="K1070" s="11"/>
      <c r="L1070" s="11"/>
      <c r="M1070" s="11"/>
      <c r="N1070" s="11"/>
      <c r="O1070" s="11"/>
      <c r="P1070" s="11"/>
    </row>
    <row r="1071" spans="9:16" x14ac:dyDescent="0.3">
      <c r="I1071" s="12" t="s">
        <v>2548</v>
      </c>
      <c r="J1071" s="18"/>
      <c r="K1071" s="11"/>
      <c r="L1071" s="11"/>
      <c r="M1071" s="11"/>
      <c r="N1071" s="11"/>
      <c r="O1071" s="11"/>
      <c r="P1071" s="11"/>
    </row>
    <row r="1072" spans="9:16" x14ac:dyDescent="0.3">
      <c r="I1072" s="12" t="s">
        <v>2549</v>
      </c>
      <c r="J1072" s="18"/>
      <c r="K1072" s="11"/>
      <c r="L1072" s="11"/>
      <c r="M1072" s="11"/>
      <c r="N1072" s="11"/>
      <c r="O1072" s="11"/>
      <c r="P1072" s="11"/>
    </row>
    <row r="1073" spans="9:16" x14ac:dyDescent="0.3">
      <c r="I1073" s="12" t="s">
        <v>2550</v>
      </c>
      <c r="J1073" s="18"/>
      <c r="K1073" s="11"/>
      <c r="L1073" s="11"/>
      <c r="M1073" s="11"/>
      <c r="N1073" s="11"/>
      <c r="O1073" s="11"/>
      <c r="P1073" s="11"/>
    </row>
    <row r="1074" spans="9:16" x14ac:dyDescent="0.3">
      <c r="I1074" s="12" t="s">
        <v>2551</v>
      </c>
      <c r="J1074" s="18"/>
      <c r="K1074" s="11"/>
      <c r="L1074" s="11"/>
      <c r="M1074" s="11"/>
      <c r="N1074" s="11"/>
      <c r="O1074" s="11"/>
      <c r="P1074" s="11"/>
    </row>
    <row r="1075" spans="9:16" x14ac:dyDescent="0.3">
      <c r="I1075" s="12" t="s">
        <v>2552</v>
      </c>
      <c r="J1075" s="18"/>
      <c r="K1075" s="11"/>
      <c r="L1075" s="11"/>
      <c r="M1075" s="11"/>
      <c r="N1075" s="11"/>
      <c r="O1075" s="11"/>
      <c r="P1075" s="11"/>
    </row>
    <row r="1076" spans="9:16" x14ac:dyDescent="0.3">
      <c r="I1076" s="12" t="s">
        <v>2553</v>
      </c>
      <c r="J1076" s="18"/>
      <c r="K1076" s="11"/>
      <c r="L1076" s="11"/>
      <c r="M1076" s="11"/>
      <c r="N1076" s="11"/>
      <c r="O1076" s="11"/>
      <c r="P1076" s="11"/>
    </row>
    <row r="1077" spans="9:16" x14ac:dyDescent="0.3">
      <c r="I1077" s="12" t="s">
        <v>2554</v>
      </c>
      <c r="J1077" s="18"/>
      <c r="K1077" s="11"/>
      <c r="L1077" s="11"/>
      <c r="M1077" s="11"/>
      <c r="N1077" s="11"/>
      <c r="O1077" s="11"/>
      <c r="P1077" s="11"/>
    </row>
    <row r="1078" spans="9:16" x14ac:dyDescent="0.3">
      <c r="I1078" s="12" t="s">
        <v>2555</v>
      </c>
      <c r="J1078" s="18"/>
      <c r="K1078" s="11"/>
      <c r="L1078" s="11"/>
      <c r="M1078" s="11"/>
      <c r="N1078" s="11"/>
      <c r="O1078" s="11"/>
      <c r="P1078" s="11"/>
    </row>
    <row r="1079" spans="9:16" x14ac:dyDescent="0.3">
      <c r="I1079" s="12" t="s">
        <v>2556</v>
      </c>
      <c r="J1079" s="18"/>
      <c r="K1079" s="11"/>
      <c r="L1079" s="11"/>
      <c r="M1079" s="11"/>
      <c r="N1079" s="11"/>
      <c r="O1079" s="11"/>
      <c r="P1079" s="11"/>
    </row>
    <row r="1080" spans="9:16" x14ac:dyDescent="0.3">
      <c r="I1080" s="12" t="s">
        <v>2557</v>
      </c>
      <c r="J1080" s="18"/>
      <c r="K1080" s="11"/>
      <c r="L1080" s="11"/>
      <c r="M1080" s="11"/>
      <c r="N1080" s="11"/>
      <c r="O1080" s="11"/>
      <c r="P1080" s="11"/>
    </row>
    <row r="1081" spans="9:16" x14ac:dyDescent="0.3">
      <c r="I1081" s="12" t="s">
        <v>2558</v>
      </c>
      <c r="J1081" s="18"/>
      <c r="K1081" s="11"/>
      <c r="L1081" s="11"/>
      <c r="M1081" s="11"/>
      <c r="N1081" s="11"/>
      <c r="O1081" s="11"/>
      <c r="P1081" s="11"/>
    </row>
    <row r="1082" spans="9:16" x14ac:dyDescent="0.3">
      <c r="I1082" s="12" t="s">
        <v>2559</v>
      </c>
      <c r="J1082" s="18"/>
      <c r="K1082" s="11"/>
      <c r="L1082" s="11"/>
      <c r="M1082" s="11"/>
      <c r="N1082" s="11"/>
      <c r="O1082" s="11"/>
      <c r="P1082" s="11"/>
    </row>
    <row r="1083" spans="9:16" x14ac:dyDescent="0.3">
      <c r="I1083" s="12" t="s">
        <v>2560</v>
      </c>
      <c r="J1083" s="18"/>
      <c r="K1083" s="11"/>
      <c r="L1083" s="11"/>
      <c r="M1083" s="11"/>
      <c r="N1083" s="11"/>
      <c r="O1083" s="11"/>
      <c r="P1083" s="11"/>
    </row>
    <row r="1084" spans="9:16" x14ac:dyDescent="0.3">
      <c r="I1084" s="12" t="s">
        <v>2561</v>
      </c>
      <c r="J1084" s="18"/>
      <c r="K1084" s="11"/>
      <c r="L1084" s="11"/>
      <c r="M1084" s="11"/>
      <c r="N1084" s="11"/>
      <c r="O1084" s="11"/>
      <c r="P1084" s="11"/>
    </row>
    <row r="1085" spans="9:16" x14ac:dyDescent="0.3">
      <c r="I1085" s="12" t="s">
        <v>2562</v>
      </c>
      <c r="J1085" s="18"/>
      <c r="K1085" s="11"/>
      <c r="L1085" s="11"/>
      <c r="M1085" s="11"/>
      <c r="N1085" s="11"/>
      <c r="O1085" s="11"/>
      <c r="P1085" s="11"/>
    </row>
    <row r="1086" spans="9:16" x14ac:dyDescent="0.3">
      <c r="I1086" s="12" t="s">
        <v>2563</v>
      </c>
      <c r="J1086" s="18"/>
      <c r="K1086" s="11"/>
      <c r="L1086" s="11"/>
      <c r="M1086" s="11"/>
      <c r="N1086" s="11"/>
      <c r="O1086" s="11"/>
      <c r="P1086" s="11"/>
    </row>
    <row r="1087" spans="9:16" x14ac:dyDescent="0.3">
      <c r="I1087" s="12" t="s">
        <v>2564</v>
      </c>
      <c r="J1087" s="18"/>
      <c r="K1087" s="11"/>
      <c r="L1087" s="11"/>
      <c r="M1087" s="11"/>
      <c r="N1087" s="11"/>
      <c r="O1087" s="11"/>
      <c r="P1087" s="11"/>
    </row>
    <row r="1088" spans="9:16" x14ac:dyDescent="0.3">
      <c r="I1088" s="12" t="s">
        <v>2565</v>
      </c>
      <c r="J1088" s="18"/>
      <c r="K1088" s="11"/>
      <c r="L1088" s="11"/>
      <c r="M1088" s="11"/>
      <c r="N1088" s="11"/>
      <c r="O1088" s="11"/>
      <c r="P1088" s="11"/>
    </row>
    <row r="1089" spans="9:16" x14ac:dyDescent="0.3">
      <c r="I1089" s="12" t="s">
        <v>2566</v>
      </c>
      <c r="J1089" s="18"/>
      <c r="K1089" s="11"/>
      <c r="L1089" s="11"/>
      <c r="M1089" s="11"/>
      <c r="N1089" s="11"/>
      <c r="O1089" s="11"/>
      <c r="P1089" s="11"/>
    </row>
    <row r="1090" spans="9:16" x14ac:dyDescent="0.3">
      <c r="I1090" s="12" t="s">
        <v>2567</v>
      </c>
      <c r="J1090" s="18"/>
      <c r="K1090" s="11"/>
      <c r="L1090" s="11"/>
      <c r="M1090" s="11"/>
      <c r="N1090" s="11"/>
      <c r="O1090" s="11"/>
      <c r="P1090" s="11"/>
    </row>
    <row r="1091" spans="9:16" x14ac:dyDescent="0.3">
      <c r="I1091" s="12" t="s">
        <v>2568</v>
      </c>
      <c r="J1091" s="18"/>
      <c r="K1091" s="11"/>
      <c r="L1091" s="11"/>
      <c r="M1091" s="11"/>
      <c r="N1091" s="11"/>
      <c r="O1091" s="11"/>
      <c r="P1091" s="11"/>
    </row>
    <row r="1092" spans="9:16" x14ac:dyDescent="0.3">
      <c r="I1092" s="12" t="s">
        <v>2569</v>
      </c>
      <c r="J1092" s="18"/>
      <c r="K1092" s="11"/>
      <c r="L1092" s="11"/>
      <c r="M1092" s="11"/>
      <c r="N1092" s="11"/>
      <c r="O1092" s="11"/>
      <c r="P1092" s="11"/>
    </row>
    <row r="1093" spans="9:16" x14ac:dyDescent="0.3">
      <c r="I1093" s="12" t="s">
        <v>2570</v>
      </c>
      <c r="J1093" s="18"/>
      <c r="K1093" s="11"/>
      <c r="L1093" s="11"/>
      <c r="M1093" s="11"/>
      <c r="N1093" s="11"/>
      <c r="O1093" s="11"/>
      <c r="P1093" s="11"/>
    </row>
    <row r="1094" spans="9:16" x14ac:dyDescent="0.3">
      <c r="I1094" s="12" t="s">
        <v>2571</v>
      </c>
      <c r="J1094" s="18"/>
      <c r="K1094" s="11"/>
      <c r="L1094" s="11"/>
      <c r="M1094" s="11"/>
      <c r="N1094" s="11"/>
      <c r="O1094" s="11"/>
      <c r="P1094" s="11"/>
    </row>
    <row r="1095" spans="9:16" x14ac:dyDescent="0.3">
      <c r="I1095" s="20" t="s">
        <v>2572</v>
      </c>
      <c r="J1095" s="19"/>
      <c r="K1095" s="11"/>
      <c r="L1095" s="11"/>
      <c r="M1095" s="11"/>
      <c r="N1095" s="11"/>
      <c r="O1095" s="11"/>
      <c r="P1095" s="11"/>
    </row>
  </sheetData>
  <sheetProtection algorithmName="SHA-512" hashValue="JX6VPNeQ0yiFo1czy1E2mF5trZhhRbkA14xgS94dDxLtkjpuTaxxkyUvZ4FlptrLd92JzPtOOQrmi/CZwddKnQ==" saltValue="QXTVokh6trqlIfpXHrzFfQ==" spinCount="100000" sheet="1" objects="1" scenarios="1" selectLockedCells="1"/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J109"/>
  <sheetViews>
    <sheetView showGridLines="0" tabSelected="1" zoomScale="85" zoomScaleNormal="85" workbookViewId="0">
      <selection activeCell="B10" sqref="B10:B11"/>
    </sheetView>
  </sheetViews>
  <sheetFormatPr defaultColWidth="0" defaultRowHeight="13.8" zeroHeight="1" x14ac:dyDescent="0.25"/>
  <cols>
    <col min="1" max="1" width="20" style="95" customWidth="1"/>
    <col min="2" max="2" width="22.88671875" style="95" customWidth="1"/>
    <col min="3" max="3" width="23.88671875" style="95" customWidth="1"/>
    <col min="4" max="4" width="25.33203125" style="95" customWidth="1"/>
    <col min="5" max="5" width="23.88671875" style="95" customWidth="1"/>
    <col min="6" max="6" width="22.33203125" style="95" customWidth="1"/>
    <col min="7" max="7" width="14.33203125" style="56" customWidth="1"/>
    <col min="8" max="16384" width="9.109375" style="56" hidden="1"/>
  </cols>
  <sheetData>
    <row r="1" spans="1:10" ht="15.75" customHeight="1" x14ac:dyDescent="0.25">
      <c r="A1" s="100" t="s">
        <v>0</v>
      </c>
      <c r="B1" s="100"/>
      <c r="C1" s="100"/>
      <c r="D1" s="100"/>
      <c r="E1" s="100"/>
      <c r="F1" s="100"/>
      <c r="G1" s="55"/>
      <c r="H1" s="55"/>
    </row>
    <row r="2" spans="1:10" ht="18.75" customHeight="1" x14ac:dyDescent="0.25">
      <c r="A2" s="57" t="s">
        <v>11</v>
      </c>
      <c r="B2" s="57" t="s">
        <v>31</v>
      </c>
      <c r="C2" s="57" t="s">
        <v>2659</v>
      </c>
      <c r="D2" s="58" t="s">
        <v>14</v>
      </c>
      <c r="E2" s="59"/>
      <c r="F2" s="60"/>
      <c r="G2" s="55"/>
      <c r="H2" s="55"/>
    </row>
    <row r="3" spans="1:10" ht="15.6" x14ac:dyDescent="0.25">
      <c r="A3" s="61"/>
      <c r="B3" s="61"/>
      <c r="C3" s="62"/>
      <c r="D3" s="63" t="s">
        <v>2680</v>
      </c>
      <c r="E3" s="64"/>
      <c r="F3" s="65"/>
      <c r="G3" s="55"/>
      <c r="H3" s="55"/>
    </row>
    <row r="4" spans="1:10" x14ac:dyDescent="0.25">
      <c r="A4" s="66" t="s">
        <v>13</v>
      </c>
      <c r="B4" s="101"/>
      <c r="C4" s="102"/>
      <c r="D4" s="63" t="s">
        <v>2681</v>
      </c>
      <c r="E4" s="64"/>
      <c r="F4" s="67"/>
    </row>
    <row r="5" spans="1:10" ht="17.25" customHeight="1" x14ac:dyDescent="0.25">
      <c r="A5" s="66" t="s">
        <v>12</v>
      </c>
      <c r="B5" s="103"/>
      <c r="C5" s="103"/>
      <c r="D5" s="68" t="s">
        <v>15</v>
      </c>
      <c r="E5" s="69"/>
      <c r="F5" s="70"/>
    </row>
    <row r="6" spans="1:10" ht="59.25" customHeight="1" thickBot="1" x14ac:dyDescent="0.3">
      <c r="A6" s="71" t="s">
        <v>2685</v>
      </c>
      <c r="B6" s="105"/>
      <c r="C6" s="105"/>
      <c r="D6" s="105"/>
      <c r="E6" s="105"/>
      <c r="F6" s="105"/>
      <c r="J6" s="72"/>
    </row>
    <row r="7" spans="1:10" ht="22.5" customHeight="1" x14ac:dyDescent="0.25">
      <c r="A7" s="99" t="s">
        <v>16</v>
      </c>
      <c r="B7" s="99"/>
      <c r="C7" s="99"/>
      <c r="D7" s="99"/>
      <c r="E7" s="99"/>
      <c r="F7" s="99"/>
    </row>
    <row r="8" spans="1:10" ht="57.75" customHeight="1" x14ac:dyDescent="0.25">
      <c r="A8" s="104"/>
      <c r="B8" s="104"/>
      <c r="C8" s="104"/>
      <c r="D8" s="104"/>
      <c r="E8" s="104"/>
      <c r="F8" s="104"/>
    </row>
    <row r="9" spans="1:10" ht="26.25" customHeight="1" x14ac:dyDescent="0.25">
      <c r="A9" s="98" t="s">
        <v>17</v>
      </c>
      <c r="B9" s="98"/>
      <c r="C9" s="98"/>
      <c r="D9" s="98"/>
      <c r="E9" s="98"/>
      <c r="F9" s="98"/>
    </row>
    <row r="10" spans="1:10" ht="19.5" customHeight="1" x14ac:dyDescent="0.25">
      <c r="A10" s="98" t="s">
        <v>2675</v>
      </c>
      <c r="B10" s="98" t="s">
        <v>18</v>
      </c>
      <c r="C10" s="99" t="s">
        <v>829</v>
      </c>
      <c r="D10" s="99"/>
      <c r="E10" s="99"/>
      <c r="F10" s="98" t="s">
        <v>20</v>
      </c>
    </row>
    <row r="11" spans="1:10" x14ac:dyDescent="0.25">
      <c r="A11" s="99"/>
      <c r="B11" s="99"/>
      <c r="C11" s="73" t="s">
        <v>2682</v>
      </c>
      <c r="D11" s="73" t="s">
        <v>2684</v>
      </c>
      <c r="E11" s="73" t="s">
        <v>2683</v>
      </c>
      <c r="F11" s="99"/>
    </row>
    <row r="12" spans="1:10" x14ac:dyDescent="0.25">
      <c r="A12" s="74"/>
      <c r="B12" s="96"/>
      <c r="C12" s="96"/>
      <c r="D12" s="96"/>
      <c r="E12" s="96"/>
      <c r="F12" s="76"/>
    </row>
    <row r="13" spans="1:10" x14ac:dyDescent="0.25">
      <c r="A13" s="74"/>
      <c r="B13" s="75"/>
      <c r="C13" s="75"/>
      <c r="D13" s="75"/>
      <c r="E13" s="75"/>
      <c r="F13" s="76"/>
    </row>
    <row r="14" spans="1:10" x14ac:dyDescent="0.25">
      <c r="A14" s="74"/>
      <c r="B14" s="75"/>
      <c r="C14" s="78"/>
      <c r="D14" s="75"/>
      <c r="E14" s="78"/>
      <c r="F14" s="76"/>
    </row>
    <row r="15" spans="1:10" x14ac:dyDescent="0.25">
      <c r="A15" s="74"/>
      <c r="B15" s="75"/>
      <c r="C15" s="75"/>
      <c r="D15" s="75"/>
      <c r="E15" s="75"/>
      <c r="F15" s="76"/>
    </row>
    <row r="16" spans="1:10" x14ac:dyDescent="0.25">
      <c r="A16" s="77"/>
      <c r="B16" s="78"/>
      <c r="C16" s="78"/>
      <c r="D16" s="78"/>
      <c r="E16" s="78"/>
      <c r="F16" s="79"/>
    </row>
    <row r="17" spans="1:6" x14ac:dyDescent="0.25">
      <c r="A17" s="77"/>
      <c r="B17" s="75"/>
      <c r="C17" s="75"/>
      <c r="D17" s="75"/>
      <c r="E17" s="75"/>
      <c r="F17" s="76"/>
    </row>
    <row r="18" spans="1:6" x14ac:dyDescent="0.25">
      <c r="A18" s="77"/>
      <c r="B18" s="78"/>
      <c r="C18" s="78"/>
      <c r="D18" s="78"/>
      <c r="E18" s="78"/>
      <c r="F18" s="79"/>
    </row>
    <row r="19" spans="1:6" x14ac:dyDescent="0.25">
      <c r="A19" s="74"/>
      <c r="B19" s="75"/>
      <c r="C19" s="75"/>
      <c r="D19" s="75"/>
      <c r="E19" s="75"/>
      <c r="F19" s="76"/>
    </row>
    <row r="20" spans="1:6" x14ac:dyDescent="0.25">
      <c r="A20" s="77"/>
      <c r="B20" s="78"/>
      <c r="C20" s="78"/>
      <c r="D20" s="78"/>
      <c r="E20" s="78"/>
      <c r="F20" s="79"/>
    </row>
    <row r="21" spans="1:6" x14ac:dyDescent="0.25">
      <c r="A21" s="74"/>
      <c r="B21" s="75"/>
      <c r="C21" s="75"/>
      <c r="D21" s="75"/>
      <c r="E21" s="75"/>
      <c r="F21" s="76"/>
    </row>
    <row r="22" spans="1:6" x14ac:dyDescent="0.25">
      <c r="A22" s="77"/>
      <c r="B22" s="78"/>
      <c r="C22" s="78"/>
      <c r="D22" s="78"/>
      <c r="E22" s="78"/>
      <c r="F22" s="79"/>
    </row>
    <row r="23" spans="1:6" ht="27" customHeight="1" x14ac:dyDescent="0.25">
      <c r="A23" s="98" t="s">
        <v>19</v>
      </c>
      <c r="B23" s="98"/>
      <c r="C23" s="98"/>
      <c r="D23" s="98"/>
      <c r="E23" s="98"/>
      <c r="F23" s="98"/>
    </row>
    <row r="24" spans="1:6" ht="27" customHeight="1" x14ac:dyDescent="0.25">
      <c r="A24" s="73" t="s">
        <v>27</v>
      </c>
      <c r="B24" s="73">
        <v>1</v>
      </c>
      <c r="C24" s="73">
        <v>2</v>
      </c>
      <c r="D24" s="73">
        <v>3</v>
      </c>
      <c r="E24" s="73">
        <v>4</v>
      </c>
      <c r="F24" s="73">
        <v>5</v>
      </c>
    </row>
    <row r="25" spans="1:6" ht="28.5" customHeight="1" x14ac:dyDescent="0.25">
      <c r="A25" s="80" t="s">
        <v>21</v>
      </c>
      <c r="B25" s="81"/>
      <c r="C25" s="81"/>
      <c r="D25" s="81"/>
      <c r="E25" s="81"/>
      <c r="F25" s="81"/>
    </row>
    <row r="26" spans="1:6" ht="27.75" customHeight="1" x14ac:dyDescent="0.25">
      <c r="A26" s="82" t="s">
        <v>22</v>
      </c>
      <c r="B26" s="83"/>
      <c r="C26" s="81"/>
      <c r="D26" s="81"/>
      <c r="E26" s="81"/>
      <c r="F26" s="81"/>
    </row>
    <row r="27" spans="1:6" ht="30" customHeight="1" x14ac:dyDescent="0.25">
      <c r="A27" s="85" t="s">
        <v>23</v>
      </c>
      <c r="B27" s="86"/>
      <c r="C27" s="86"/>
      <c r="D27" s="86"/>
      <c r="E27" s="86"/>
      <c r="F27" s="87"/>
    </row>
    <row r="28" spans="1:6" ht="34.5" customHeight="1" x14ac:dyDescent="0.25">
      <c r="A28" s="82" t="s">
        <v>24</v>
      </c>
      <c r="B28" s="83"/>
      <c r="C28" s="83"/>
      <c r="D28" s="83"/>
      <c r="E28" s="83"/>
      <c r="F28" s="84"/>
    </row>
    <row r="29" spans="1:6" ht="27.75" customHeight="1" x14ac:dyDescent="0.25">
      <c r="A29" s="85" t="s">
        <v>25</v>
      </c>
      <c r="B29" s="86"/>
      <c r="C29" s="86"/>
      <c r="D29" s="86"/>
      <c r="E29" s="86"/>
      <c r="F29" s="87"/>
    </row>
    <row r="30" spans="1:6" ht="33" customHeight="1" x14ac:dyDescent="0.25">
      <c r="A30" s="82" t="s">
        <v>26</v>
      </c>
      <c r="B30" s="83"/>
      <c r="C30" s="83"/>
      <c r="D30" s="83"/>
      <c r="E30" s="83"/>
      <c r="F30" s="84"/>
    </row>
    <row r="31" spans="1:6" s="90" customFormat="1" ht="21" customHeight="1" thickBot="1" x14ac:dyDescent="0.3">
      <c r="A31" s="88"/>
      <c r="B31" s="89"/>
      <c r="C31" s="89"/>
      <c r="D31" s="89"/>
      <c r="E31" s="89"/>
      <c r="F31" s="89"/>
    </row>
    <row r="32" spans="1:6" ht="14.4" thickBot="1" x14ac:dyDescent="0.3">
      <c r="A32" s="91" t="s">
        <v>2658</v>
      </c>
      <c r="B32" s="117"/>
      <c r="C32" s="118"/>
      <c r="D32" s="118"/>
      <c r="E32" s="118"/>
      <c r="F32" s="119"/>
    </row>
    <row r="33" spans="1:6" x14ac:dyDescent="0.25">
      <c r="A33" s="92" t="s">
        <v>28</v>
      </c>
      <c r="B33" s="117"/>
      <c r="C33" s="118"/>
      <c r="D33" s="118"/>
      <c r="E33" s="118"/>
      <c r="F33" s="119"/>
    </row>
    <row r="34" spans="1:6" ht="14.4" thickBot="1" x14ac:dyDescent="0.3">
      <c r="A34" s="93" t="s">
        <v>29</v>
      </c>
      <c r="B34" s="121"/>
      <c r="C34" s="121"/>
      <c r="D34" s="121"/>
      <c r="E34" s="122"/>
      <c r="F34" s="94"/>
    </row>
    <row r="35" spans="1:6" ht="18.75" customHeight="1" x14ac:dyDescent="0.25">
      <c r="A35" s="98" t="s">
        <v>30</v>
      </c>
      <c r="B35" s="98"/>
      <c r="C35" s="98"/>
      <c r="D35" s="98"/>
      <c r="E35" s="98"/>
      <c r="F35" s="98"/>
    </row>
    <row r="36" spans="1:6" ht="247.5" customHeight="1" x14ac:dyDescent="0.25">
      <c r="A36" s="112"/>
      <c r="B36" s="113"/>
      <c r="C36" s="113"/>
      <c r="D36" s="113"/>
      <c r="E36" s="113"/>
      <c r="F36" s="114"/>
    </row>
    <row r="37" spans="1:6" ht="19.5" customHeight="1" x14ac:dyDescent="0.25">
      <c r="A37" s="115" t="s">
        <v>2657</v>
      </c>
      <c r="B37" s="115"/>
      <c r="C37" s="115"/>
      <c r="D37" s="115"/>
      <c r="E37" s="115"/>
      <c r="F37" s="115"/>
    </row>
    <row r="38" spans="1:6" ht="150.75" customHeight="1" x14ac:dyDescent="0.25">
      <c r="A38" s="104"/>
      <c r="B38" s="104"/>
      <c r="C38" s="104"/>
      <c r="D38" s="104"/>
      <c r="E38" s="104"/>
      <c r="F38" s="104"/>
    </row>
    <row r="39" spans="1:6" ht="39.75" customHeight="1" x14ac:dyDescent="0.25">
      <c r="A39" s="120" t="s">
        <v>32</v>
      </c>
      <c r="B39" s="120"/>
      <c r="C39" s="120"/>
      <c r="D39" s="120"/>
      <c r="E39" s="120"/>
      <c r="F39" s="120"/>
    </row>
    <row r="40" spans="1:6" ht="189.9" customHeight="1" x14ac:dyDescent="0.25">
      <c r="A40" s="108"/>
      <c r="B40" s="108"/>
      <c r="C40" s="108"/>
      <c r="D40" s="108"/>
      <c r="E40" s="108"/>
      <c r="F40" s="108"/>
    </row>
    <row r="41" spans="1:6" ht="48" customHeight="1" x14ac:dyDescent="0.25">
      <c r="A41" s="116" t="s">
        <v>33</v>
      </c>
      <c r="B41" s="116"/>
      <c r="C41" s="116"/>
      <c r="D41" s="116"/>
      <c r="E41" s="116"/>
      <c r="F41" s="116"/>
    </row>
    <row r="42" spans="1:6" ht="24" customHeight="1" x14ac:dyDescent="0.25">
      <c r="A42" s="116" t="s">
        <v>34</v>
      </c>
      <c r="B42" s="116"/>
      <c r="C42" s="116"/>
      <c r="D42" s="116" t="s">
        <v>35</v>
      </c>
      <c r="E42" s="116"/>
      <c r="F42" s="116"/>
    </row>
    <row r="43" spans="1:6" ht="189.9" customHeight="1" x14ac:dyDescent="0.25">
      <c r="A43" s="106"/>
      <c r="B43" s="106"/>
      <c r="C43" s="106"/>
      <c r="D43" s="107"/>
      <c r="E43" s="108"/>
      <c r="F43" s="108"/>
    </row>
    <row r="44" spans="1:6" ht="35.1" customHeight="1" x14ac:dyDescent="0.25">
      <c r="A44" s="109"/>
      <c r="B44" s="109"/>
      <c r="C44" s="109"/>
      <c r="D44" s="109"/>
      <c r="E44" s="109"/>
      <c r="F44" s="109"/>
    </row>
    <row r="45" spans="1:6" ht="189.9" customHeight="1" x14ac:dyDescent="0.25">
      <c r="A45" s="106"/>
      <c r="B45" s="106"/>
      <c r="C45" s="106"/>
      <c r="D45" s="107"/>
      <c r="E45" s="108"/>
      <c r="F45" s="108"/>
    </row>
    <row r="46" spans="1:6" ht="35.1" customHeight="1" x14ac:dyDescent="0.25">
      <c r="A46" s="109"/>
      <c r="B46" s="109"/>
      <c r="C46" s="109"/>
      <c r="D46" s="109"/>
      <c r="E46" s="109"/>
      <c r="F46" s="109"/>
    </row>
    <row r="47" spans="1:6" ht="189.9" customHeight="1" x14ac:dyDescent="0.25">
      <c r="A47" s="106"/>
      <c r="B47" s="106"/>
      <c r="C47" s="106"/>
      <c r="D47" s="107"/>
      <c r="E47" s="108"/>
      <c r="F47" s="108"/>
    </row>
    <row r="48" spans="1:6" ht="35.1" customHeight="1" x14ac:dyDescent="0.25">
      <c r="A48" s="109"/>
      <c r="B48" s="109"/>
      <c r="C48" s="109"/>
      <c r="D48" s="109"/>
      <c r="E48" s="109"/>
      <c r="F48" s="109"/>
    </row>
    <row r="49" spans="1:6" ht="189.9" customHeight="1" x14ac:dyDescent="0.25">
      <c r="A49" s="106"/>
      <c r="B49" s="106"/>
      <c r="C49" s="106"/>
      <c r="D49" s="107"/>
      <c r="E49" s="108"/>
      <c r="F49" s="108"/>
    </row>
    <row r="50" spans="1:6" ht="35.1" customHeight="1" x14ac:dyDescent="0.25">
      <c r="A50" s="109"/>
      <c r="B50" s="109"/>
      <c r="C50" s="109"/>
      <c r="D50" s="110"/>
      <c r="E50" s="111"/>
      <c r="F50" s="111"/>
    </row>
    <row r="51" spans="1:6" ht="189.9" customHeight="1" x14ac:dyDescent="0.25">
      <c r="A51" s="106"/>
      <c r="B51" s="106"/>
      <c r="C51" s="106"/>
      <c r="D51" s="107"/>
      <c r="E51" s="108"/>
      <c r="F51" s="108"/>
    </row>
    <row r="52" spans="1:6" ht="35.1" customHeight="1" x14ac:dyDescent="0.25">
      <c r="A52" s="109"/>
      <c r="B52" s="109"/>
      <c r="C52" s="109"/>
      <c r="D52" s="110"/>
      <c r="E52" s="111"/>
      <c r="F52" s="111"/>
    </row>
    <row r="53" spans="1:6" ht="189.9" customHeight="1" x14ac:dyDescent="0.25">
      <c r="A53" s="106"/>
      <c r="B53" s="106"/>
      <c r="C53" s="106"/>
      <c r="D53" s="107"/>
      <c r="E53" s="108"/>
      <c r="F53" s="108"/>
    </row>
    <row r="54" spans="1:6" ht="35.1" customHeight="1" x14ac:dyDescent="0.25">
      <c r="A54" s="109"/>
      <c r="B54" s="109"/>
      <c r="C54" s="109"/>
      <c r="D54" s="110"/>
      <c r="E54" s="111"/>
      <c r="F54" s="111"/>
    </row>
    <row r="55" spans="1:6" ht="189.9" customHeight="1" x14ac:dyDescent="0.25">
      <c r="A55" s="106"/>
      <c r="B55" s="106"/>
      <c r="C55" s="106"/>
      <c r="D55" s="107"/>
      <c r="E55" s="108"/>
      <c r="F55" s="108"/>
    </row>
    <row r="56" spans="1:6" ht="35.1" customHeight="1" x14ac:dyDescent="0.25">
      <c r="A56" s="109"/>
      <c r="B56" s="109"/>
      <c r="C56" s="109"/>
      <c r="D56" s="110"/>
      <c r="E56" s="111"/>
      <c r="F56" s="111"/>
    </row>
    <row r="57" spans="1:6" ht="189.9" customHeight="1" x14ac:dyDescent="0.25">
      <c r="A57" s="106"/>
      <c r="B57" s="106"/>
      <c r="C57" s="106"/>
      <c r="D57" s="107"/>
      <c r="E57" s="108"/>
      <c r="F57" s="108"/>
    </row>
    <row r="58" spans="1:6" hidden="1" x14ac:dyDescent="0.25"/>
    <row r="59" spans="1:6" hidden="1" x14ac:dyDescent="0.25"/>
    <row r="60" spans="1:6" hidden="1" x14ac:dyDescent="0.25"/>
    <row r="61" spans="1:6" hidden="1" x14ac:dyDescent="0.25"/>
    <row r="62" spans="1:6" hidden="1" x14ac:dyDescent="0.25"/>
    <row r="63" spans="1:6" hidden="1" x14ac:dyDescent="0.25"/>
    <row r="64" spans="1:6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x14ac:dyDescent="0.25"/>
    <row r="109" x14ac:dyDescent="0.25"/>
  </sheetData>
  <sheetProtection algorithmName="SHA-512" hashValue="gHQ8hzvqjwvjIBbftH8geVFFn0jfdvaM60PM40pv9B84ABsMR6NA5f0SNTi6NYlKhp4imOYWZeEddrtIuEODDA==" saltValue="gqBRZjB5BrVO3Y4vl06ksQ==" spinCount="100000" sheet="1" objects="1" scenarios="1"/>
  <mergeCells count="54">
    <mergeCell ref="A54:C54"/>
    <mergeCell ref="D54:F54"/>
    <mergeCell ref="A41:F41"/>
    <mergeCell ref="A39:F39"/>
    <mergeCell ref="B33:F33"/>
    <mergeCell ref="B34:E34"/>
    <mergeCell ref="A51:C51"/>
    <mergeCell ref="D51:F51"/>
    <mergeCell ref="A52:C52"/>
    <mergeCell ref="D52:F52"/>
    <mergeCell ref="A53:C53"/>
    <mergeCell ref="D53:F53"/>
    <mergeCell ref="A48:C48"/>
    <mergeCell ref="D48:F48"/>
    <mergeCell ref="A49:C49"/>
    <mergeCell ref="D49:F49"/>
    <mergeCell ref="A50:C50"/>
    <mergeCell ref="D50:F50"/>
    <mergeCell ref="A45:C45"/>
    <mergeCell ref="D45:F45"/>
    <mergeCell ref="A46:C46"/>
    <mergeCell ref="D46:F46"/>
    <mergeCell ref="A47:C47"/>
    <mergeCell ref="D47:F47"/>
    <mergeCell ref="A44:C44"/>
    <mergeCell ref="D44:F44"/>
    <mergeCell ref="A35:F35"/>
    <mergeCell ref="A36:F36"/>
    <mergeCell ref="A23:F23"/>
    <mergeCell ref="A37:F37"/>
    <mergeCell ref="A38:F38"/>
    <mergeCell ref="A40:F40"/>
    <mergeCell ref="A42:C42"/>
    <mergeCell ref="D42:F42"/>
    <mergeCell ref="A43:C43"/>
    <mergeCell ref="D43:F43"/>
    <mergeCell ref="B32:F32"/>
    <mergeCell ref="A55:C55"/>
    <mergeCell ref="D55:F55"/>
    <mergeCell ref="A57:C57"/>
    <mergeCell ref="D57:F57"/>
    <mergeCell ref="A56:C56"/>
    <mergeCell ref="D56:F56"/>
    <mergeCell ref="F10:F11"/>
    <mergeCell ref="A1:F1"/>
    <mergeCell ref="B4:C4"/>
    <mergeCell ref="B5:C5"/>
    <mergeCell ref="A9:F9"/>
    <mergeCell ref="A8:F8"/>
    <mergeCell ref="A7:F7"/>
    <mergeCell ref="B6:F6"/>
    <mergeCell ref="B10:B11"/>
    <mergeCell ref="C10:E10"/>
    <mergeCell ref="A10:A11"/>
  </mergeCells>
  <dataValidations count="18">
    <dataValidation type="list" allowBlank="1" showInputMessage="1" showErrorMessage="1" sqref="B4" xr:uid="{00000000-0002-0000-0100-000000000000}">
      <formula1>INDIRECT("PetrografoTab")</formula1>
    </dataValidation>
    <dataValidation type="list" allowBlank="1" showInputMessage="1" showErrorMessage="1" sqref="A3" xr:uid="{00000000-0002-0000-0100-000001000000}">
      <formula1>INDIRECT("ProjTab")</formula1>
    </dataValidation>
    <dataValidation type="list" allowBlank="1" showInputMessage="1" showErrorMessage="1" sqref="B5:C5" xr:uid="{00000000-0002-0000-0100-000002000000}">
      <formula1>INDIRECT("TPsTab")</formula1>
    </dataValidation>
    <dataValidation type="list" allowBlank="1" showInputMessage="1" showErrorMessage="1" sqref="E5:F5" xr:uid="{00000000-0002-0000-0100-000003000000}">
      <formula1>INDIRECT("sureg")</formula1>
    </dataValidation>
    <dataValidation type="list" allowBlank="1" showInputMessage="1" showErrorMessage="1" sqref="A12:A16 A18:A22" xr:uid="{00000000-0002-0000-0100-000004000000}">
      <formula1>INDIRECT("MineralTab")</formula1>
    </dataValidation>
    <dataValidation type="list" allowBlank="1" showInputMessage="1" showErrorMessage="1" sqref="B32:F33" xr:uid="{00000000-0002-0000-0100-000005000000}">
      <formula1>INDIRECT("TiposRochaPet")</formula1>
    </dataValidation>
    <dataValidation type="list" allowBlank="1" showInputMessage="1" showErrorMessage="1" sqref="B25:F25" xr:uid="{00000000-0002-0000-0100-000006000000}">
      <formula1>INDIRECT("texturaMicro")</formula1>
    </dataValidation>
    <dataValidation type="list" allowBlank="1" showInputMessage="1" showErrorMessage="1" sqref="B26:F26" xr:uid="{00000000-0002-0000-0100-000007000000}">
      <formula1>INDIRECT("estrutMicro")</formula1>
    </dataValidation>
    <dataValidation type="list" allowBlank="1" showInputMessage="1" showErrorMessage="1" sqref="B27:F27" xr:uid="{00000000-0002-0000-0100-000008000000}">
      <formula1>INDIRECT("estrutDef")</formula1>
    </dataValidation>
    <dataValidation type="list" allowBlank="1" showInputMessage="1" showErrorMessage="1" sqref="B28:F28" xr:uid="{00000000-0002-0000-0100-000009000000}">
      <formula1>INDIRECT("alteracaoMicro")</formula1>
    </dataValidation>
    <dataValidation type="list" allowBlank="1" showInputMessage="1" showErrorMessage="1" sqref="B29:F29" xr:uid="{00000000-0002-0000-0100-00000A000000}">
      <formula1>INDIRECT("metaMicro")</formula1>
    </dataValidation>
    <dataValidation type="list" allowBlank="1" showInputMessage="1" showErrorMessage="1" sqref="B30:F31" xr:uid="{00000000-0002-0000-0100-00000B000000}">
      <formula1>INDIRECT("faciesMetaMicro")</formula1>
    </dataValidation>
    <dataValidation type="list" allowBlank="1" showInputMessage="1" showErrorMessage="1" sqref="B34:E34" xr:uid="{00000000-0002-0000-0100-00000C000000}">
      <formula1>INDIRECT("unidade")</formula1>
    </dataValidation>
    <dataValidation type="decimal" operator="greaterThan" allowBlank="1" showInputMessage="1" showErrorMessage="1" sqref="E3:E4 C12:E22 B12:B16 B18:B22" xr:uid="{00000000-0002-0000-0100-00000D000000}">
      <formula1>0</formula1>
    </dataValidation>
    <dataValidation type="date" operator="greaterThan" allowBlank="1" showInputMessage="1" showErrorMessage="1" sqref="E2" xr:uid="{00000000-0002-0000-0100-00000E000000}">
      <formula1>1</formula1>
    </dataValidation>
    <dataValidation type="list" allowBlank="1" showInputMessage="1" showErrorMessage="1" sqref="F12:F22" xr:uid="{00000000-0002-0000-0100-00000F000000}">
      <formula1>INDIRECT("CorTab")</formula1>
    </dataValidation>
    <dataValidation type="custom" operator="lessThan" allowBlank="1" showInputMessage="1" showErrorMessage="1" errorTitle="Lâmina Inválida" error="Letra maiúscula de 1 digito obrigatória._x000a__x000a_ex. &quot;A&quot; para a primeira lâmina da amostra, &quot;B&quot; para a segunda, etc..._x000a__x000a_Obs. Deixar em branco caso exista apenas uma lâmina" prompt="Obs. Deixar em branco caso exista apenas uma lâmina" sqref="C3" xr:uid="{00000000-0002-0000-0100-000010000000}">
      <formula1>IFERROR(AND(CODE(INDIRECT("Lami"))&gt;=65,CODE(INDIRECT("Lami"))&lt;=90,LEN(INDIRECT("Lami"))=1),TRUE)</formula1>
    </dataValidation>
    <dataValidation allowBlank="1" showInputMessage="1" showErrorMessage="1" prompt="Nome da amostra completo na forma:_x000a_Centro do custo - Sigla do Geólogo - Tipo de Amostra - numero (4digitos) + letra (se houver)_x000a_ex._x000a_1111-GG-R-0015F_x000a_" sqref="B3" xr:uid="{00000000-0002-0000-0100-000011000000}"/>
  </dataValidations>
  <pageMargins left="0.51181102362204722" right="0.51181102362204722" top="0.78740157480314965" bottom="0.78740157480314965" header="0.31496062992125984" footer="0.31496062992125984"/>
  <pageSetup paperSize="9" scale="66" fitToHeight="0" orientation="portrait" r:id="rId1"/>
  <rowBreaks count="1" manualBreakCount="1">
    <brk id="3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6" r:id="rId4" name="Fotos_40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5" name="Fotos_43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Fotos_45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Fotos_47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Fotos_49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Fotos_51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Fotos_53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Fotos_55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Fotos_57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7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3" name="Button 52">
              <controlPr defaultSize="0" print="0" autoFill="0" autoPict="0" macro="[0]!graficos_Button">
                <anchor moveWithCells="1" sizeWithCells="1">
                  <from>
                    <xdr:col>6</xdr:col>
                    <xdr:colOff>45720</xdr:colOff>
                    <xdr:row>10</xdr:row>
                    <xdr:rowOff>175260</xdr:rowOff>
                  </from>
                  <to>
                    <xdr:col>6</xdr:col>
                    <xdr:colOff>883920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4" name="Button 58">
              <controlPr defaultSize="0" print="0" autoFill="0" autoPict="0" macro="[0]!RemoverGrafico">
                <anchor moveWithCells="1" sizeWithCells="1">
                  <from>
                    <xdr:col>6</xdr:col>
                    <xdr:colOff>68580</xdr:colOff>
                    <xdr:row>21</xdr:row>
                    <xdr:rowOff>106680</xdr:rowOff>
                  </from>
                  <to>
                    <xdr:col>6</xdr:col>
                    <xdr:colOff>876300</xdr:colOff>
                    <xdr:row>23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B60"/>
  <sheetViews>
    <sheetView workbookViewId="0">
      <selection activeCell="Q17" sqref="Q17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x14ac:dyDescent="0.2">
      <c r="A2" s="35">
        <v>0.5</v>
      </c>
      <c r="B2" s="35">
        <v>0.5</v>
      </c>
      <c r="C2" s="35">
        <v>0.86602540378443871</v>
      </c>
      <c r="F2" s="38" t="s">
        <v>2663</v>
      </c>
      <c r="G2" s="38" t="s">
        <v>2664</v>
      </c>
      <c r="H2" s="38" t="s">
        <v>2665</v>
      </c>
      <c r="I2" s="39" t="s">
        <v>2666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" si="1">IF(OR(I3=0,I3=""),$G3/($F3+$G3+$H3),$G3/($I3+$G3+$H3))</f>
        <v>#DIV/0!</v>
      </c>
      <c r="L3" s="48" t="e">
        <f t="shared" ref="L3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ref="K4:K24" si="4">IF(OR(I4=0,I4=""),$G4/($F4+$G4+$H4),$G4/($I4+$G4+$H4))</f>
        <v>#DIV/0!</v>
      </c>
      <c r="L4" s="48" t="e">
        <f t="shared" ref="L4:L24" si="5">IF(OR(I4=0,I4=""),$H4/($F4+$G4+$H4),$H4/($I4+$G4+$H4))</f>
        <v>#DIV/0!</v>
      </c>
      <c r="M4" s="48" t="e">
        <f t="shared" si="3"/>
        <v>#DIV/0!</v>
      </c>
      <c r="N4" s="43" t="str">
        <f t="shared" ref="N4:N24" si="6">IFERROR(IF(M4=0,(0.5*J4+L4),(0.5*M4+L4)),"")</f>
        <v/>
      </c>
      <c r="O4" s="43" t="str">
        <f t="shared" ref="O4:O24" si="7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4"/>
        <v>#DIV/0!</v>
      </c>
      <c r="L5" s="48" t="e">
        <f t="shared" si="5"/>
        <v>#DIV/0!</v>
      </c>
      <c r="M5" s="48" t="e">
        <f t="shared" si="3"/>
        <v>#DIV/0!</v>
      </c>
      <c r="N5" s="43" t="str">
        <f t="shared" si="6"/>
        <v/>
      </c>
      <c r="O5" s="43" t="str">
        <f t="shared" si="7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4"/>
        <v>#DIV/0!</v>
      </c>
      <c r="L6" s="48" t="e">
        <f t="shared" si="5"/>
        <v>#DIV/0!</v>
      </c>
      <c r="M6" s="48" t="e">
        <f t="shared" si="3"/>
        <v>#DIV/0!</v>
      </c>
      <c r="N6" s="43" t="str">
        <f t="shared" si="6"/>
        <v/>
      </c>
      <c r="O6" s="43" t="str">
        <f t="shared" si="7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4"/>
        <v>#DIV/0!</v>
      </c>
      <c r="L7" s="48" t="e">
        <f t="shared" si="5"/>
        <v>#DIV/0!</v>
      </c>
      <c r="M7" s="48" t="e">
        <f t="shared" si="3"/>
        <v>#DIV/0!</v>
      </c>
      <c r="N7" s="43" t="str">
        <f t="shared" si="6"/>
        <v/>
      </c>
      <c r="O7" s="43" t="str">
        <f t="shared" si="7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4"/>
        <v>#DIV/0!</v>
      </c>
      <c r="L8" s="48" t="e">
        <f t="shared" si="5"/>
        <v>#DIV/0!</v>
      </c>
      <c r="M8" s="48" t="e">
        <f t="shared" si="3"/>
        <v>#DIV/0!</v>
      </c>
      <c r="N8" s="43" t="str">
        <f t="shared" si="6"/>
        <v/>
      </c>
      <c r="O8" s="43" t="str">
        <f t="shared" si="7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0.65</v>
      </c>
      <c r="B9" s="35">
        <v>0</v>
      </c>
      <c r="C9" s="47"/>
      <c r="J9" s="48" t="e">
        <f t="shared" si="0"/>
        <v>#DIV/0!</v>
      </c>
      <c r="K9" s="48" t="e">
        <f t="shared" si="4"/>
        <v>#DIV/0!</v>
      </c>
      <c r="L9" s="48" t="e">
        <f t="shared" si="5"/>
        <v>#DIV/0!</v>
      </c>
      <c r="M9" s="48" t="e">
        <f t="shared" si="3"/>
        <v>#DIV/0!</v>
      </c>
      <c r="N9" s="43" t="str">
        <f t="shared" si="6"/>
        <v/>
      </c>
      <c r="O9" s="43" t="str">
        <f t="shared" si="7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4"/>
        <v>#DIV/0!</v>
      </c>
      <c r="L10" s="48" t="e">
        <f t="shared" si="5"/>
        <v>#DIV/0!</v>
      </c>
      <c r="M10" s="48" t="e">
        <f t="shared" si="3"/>
        <v>#DIV/0!</v>
      </c>
      <c r="N10" s="43" t="str">
        <f t="shared" si="6"/>
        <v/>
      </c>
      <c r="O10" s="43" t="str">
        <f t="shared" si="7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4"/>
        <v>#DIV/0!</v>
      </c>
      <c r="L11" s="48" t="e">
        <f t="shared" si="5"/>
        <v>#DIV/0!</v>
      </c>
      <c r="M11" s="48" t="e">
        <f t="shared" si="3"/>
        <v>#DIV/0!</v>
      </c>
      <c r="N11" s="43" t="str">
        <f t="shared" si="6"/>
        <v/>
      </c>
      <c r="O11" s="43" t="str">
        <f t="shared" si="7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4"/>
        <v>#DIV/0!</v>
      </c>
      <c r="L12" s="48" t="e">
        <f t="shared" si="5"/>
        <v>#DIV/0!</v>
      </c>
      <c r="M12" s="48" t="e">
        <f t="shared" si="3"/>
        <v>#DIV/0!</v>
      </c>
      <c r="N12" s="43" t="str">
        <f t="shared" si="6"/>
        <v/>
      </c>
      <c r="O12" s="43" t="str">
        <f t="shared" si="7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4"/>
        <v>#DIV/0!</v>
      </c>
      <c r="L13" s="48" t="e">
        <f t="shared" si="5"/>
        <v>#DIV/0!</v>
      </c>
      <c r="M13" s="48" t="e">
        <f t="shared" si="3"/>
        <v>#DIV/0!</v>
      </c>
      <c r="N13" s="43" t="str">
        <f t="shared" si="6"/>
        <v/>
      </c>
      <c r="O13" s="43" t="str">
        <f t="shared" si="7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4"/>
        <v>#DIV/0!</v>
      </c>
      <c r="L14" s="48" t="e">
        <f t="shared" si="5"/>
        <v>#DIV/0!</v>
      </c>
      <c r="M14" s="48" t="e">
        <f t="shared" si="3"/>
        <v>#DIV/0!</v>
      </c>
      <c r="N14" s="43" t="str">
        <f t="shared" si="6"/>
        <v/>
      </c>
      <c r="O14" s="43" t="str">
        <f t="shared" si="7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4"/>
        <v>#DIV/0!</v>
      </c>
      <c r="L15" s="48" t="e">
        <f t="shared" si="5"/>
        <v>#DIV/0!</v>
      </c>
      <c r="M15" s="48" t="e">
        <f t="shared" si="3"/>
        <v>#DIV/0!</v>
      </c>
      <c r="N15" s="43" t="str">
        <f t="shared" si="6"/>
        <v/>
      </c>
      <c r="O15" s="43" t="str">
        <f t="shared" si="7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4"/>
        <v>#DIV/0!</v>
      </c>
      <c r="L16" s="48" t="e">
        <f t="shared" si="5"/>
        <v>#DIV/0!</v>
      </c>
      <c r="M16" s="48" t="e">
        <f t="shared" si="3"/>
        <v>#DIV/0!</v>
      </c>
      <c r="N16" s="43" t="str">
        <f t="shared" si="6"/>
        <v/>
      </c>
      <c r="O16" s="43" t="str">
        <f t="shared" si="7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4"/>
        <v>#DIV/0!</v>
      </c>
      <c r="L17" s="48" t="e">
        <f t="shared" si="5"/>
        <v>#DIV/0!</v>
      </c>
      <c r="M17" s="48" t="e">
        <f t="shared" si="3"/>
        <v>#DIV/0!</v>
      </c>
      <c r="N17" s="43" t="str">
        <f t="shared" si="6"/>
        <v/>
      </c>
      <c r="O17" s="43" t="str">
        <f t="shared" si="7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4"/>
        <v>#DIV/0!</v>
      </c>
      <c r="L18" s="48" t="e">
        <f t="shared" si="5"/>
        <v>#DIV/0!</v>
      </c>
      <c r="M18" s="48" t="e">
        <f t="shared" si="3"/>
        <v>#DIV/0!</v>
      </c>
      <c r="N18" s="43" t="str">
        <f t="shared" si="6"/>
        <v/>
      </c>
      <c r="O18" s="43" t="str">
        <f t="shared" si="7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4"/>
        <v>#DIV/0!</v>
      </c>
      <c r="L19" s="48" t="e">
        <f t="shared" si="5"/>
        <v>#DIV/0!</v>
      </c>
      <c r="M19" s="48" t="e">
        <f t="shared" si="3"/>
        <v>#DIV/0!</v>
      </c>
      <c r="N19" s="43" t="str">
        <f t="shared" si="6"/>
        <v/>
      </c>
      <c r="O19" s="43" t="str">
        <f t="shared" si="7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4"/>
        <v>#DIV/0!</v>
      </c>
      <c r="L20" s="48" t="e">
        <f t="shared" si="5"/>
        <v>#DIV/0!</v>
      </c>
      <c r="M20" s="48" t="e">
        <f t="shared" si="3"/>
        <v>#DIV/0!</v>
      </c>
      <c r="N20" s="43" t="str">
        <f t="shared" si="6"/>
        <v/>
      </c>
      <c r="O20" s="43" t="str">
        <f t="shared" si="7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4"/>
        <v>#DIV/0!</v>
      </c>
      <c r="L21" s="48" t="e">
        <f t="shared" si="5"/>
        <v>#DIV/0!</v>
      </c>
      <c r="M21" s="48" t="e">
        <f t="shared" si="3"/>
        <v>#DIV/0!</v>
      </c>
      <c r="N21" s="43" t="str">
        <f t="shared" si="6"/>
        <v/>
      </c>
      <c r="O21" s="43" t="str">
        <f t="shared" si="7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4"/>
        <v>#DIV/0!</v>
      </c>
      <c r="L22" s="48" t="e">
        <f t="shared" si="5"/>
        <v>#DIV/0!</v>
      </c>
      <c r="M22" s="48" t="e">
        <f t="shared" si="3"/>
        <v>#DIV/0!</v>
      </c>
      <c r="N22" s="43" t="str">
        <f t="shared" si="6"/>
        <v/>
      </c>
      <c r="O22" s="43" t="str">
        <f t="shared" si="7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4"/>
        <v>#DIV/0!</v>
      </c>
      <c r="L23" s="48" t="e">
        <f t="shared" si="5"/>
        <v>#DIV/0!</v>
      </c>
      <c r="M23" s="48" t="e">
        <f t="shared" si="3"/>
        <v>#DIV/0!</v>
      </c>
      <c r="N23" s="43" t="str">
        <f t="shared" si="6"/>
        <v/>
      </c>
      <c r="O23" s="43" t="str">
        <f t="shared" si="7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4"/>
        <v>#DIV/0!</v>
      </c>
      <c r="L24" s="48" t="e">
        <f t="shared" si="5"/>
        <v>#DIV/0!</v>
      </c>
      <c r="M24" s="48" t="e">
        <f t="shared" si="3"/>
        <v>#DIV/0!</v>
      </c>
      <c r="N24" s="43" t="str">
        <f t="shared" si="6"/>
        <v/>
      </c>
      <c r="O24" s="43" t="str">
        <f t="shared" si="7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I25" s="39">
        <v>0</v>
      </c>
      <c r="J25" s="48">
        <f t="shared" ref="J25:J60" si="8">$F25/($F25+$G25+$H25)</f>
        <v>0.9</v>
      </c>
      <c r="K25" s="48">
        <f t="shared" ref="K25:K60" si="9">IF(OR(I25=0,I25=""),$G25/($F25+$G25+$H25),$G25/($I25+$G25+$H25))</f>
        <v>0.1</v>
      </c>
      <c r="L25" s="48">
        <f t="shared" ref="L25:L60" si="10">IF(OR(I25=0,I25=""),$H25/($F25+$G25+$H25),$H25/($I25+$G25+$H25))</f>
        <v>0</v>
      </c>
      <c r="M25" s="48">
        <f t="shared" ref="M25:M60" si="11">$I25/($I25+$G25+$H25)</f>
        <v>0</v>
      </c>
      <c r="N25" s="43">
        <f t="shared" ref="N25:N60" si="12">IF(M25=0,(0.5*J25+L25),(0.5*M25+L25))</f>
        <v>0.45</v>
      </c>
      <c r="O25" s="43">
        <f t="shared" ref="O25:O60" si="13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I26" s="39">
        <v>0</v>
      </c>
      <c r="J26" s="48">
        <f t="shared" si="8"/>
        <v>0.9</v>
      </c>
      <c r="K26" s="48">
        <f t="shared" si="9"/>
        <v>0</v>
      </c>
      <c r="L26" s="48">
        <f t="shared" si="10"/>
        <v>0.1</v>
      </c>
      <c r="M26" s="48">
        <f t="shared" si="11"/>
        <v>0</v>
      </c>
      <c r="N26" s="43">
        <f t="shared" si="12"/>
        <v>0.55000000000000004</v>
      </c>
      <c r="O26" s="43">
        <f t="shared" si="13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60</v>
      </c>
      <c r="G27" s="53">
        <v>0</v>
      </c>
      <c r="H27" s="53">
        <v>40</v>
      </c>
      <c r="I27" s="39">
        <v>0</v>
      </c>
      <c r="J27" s="48">
        <f t="shared" si="8"/>
        <v>0.6</v>
      </c>
      <c r="K27" s="48">
        <f t="shared" si="9"/>
        <v>0</v>
      </c>
      <c r="L27" s="48">
        <f t="shared" si="10"/>
        <v>0.4</v>
      </c>
      <c r="M27" s="48">
        <f t="shared" si="11"/>
        <v>0</v>
      </c>
      <c r="N27" s="43">
        <f t="shared" si="12"/>
        <v>0.7</v>
      </c>
      <c r="O27" s="43">
        <f t="shared" si="13"/>
        <v>0.51961524227066325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60</v>
      </c>
      <c r="G28" s="53">
        <v>40</v>
      </c>
      <c r="H28" s="53">
        <v>0</v>
      </c>
      <c r="I28" s="39">
        <v>0</v>
      </c>
      <c r="J28" s="48">
        <f t="shared" si="8"/>
        <v>0.6</v>
      </c>
      <c r="K28" s="48">
        <f t="shared" si="9"/>
        <v>0.4</v>
      </c>
      <c r="L28" s="48">
        <f t="shared" si="10"/>
        <v>0</v>
      </c>
      <c r="M28" s="48">
        <f t="shared" si="11"/>
        <v>0</v>
      </c>
      <c r="N28" s="43">
        <f t="shared" si="12"/>
        <v>0.3</v>
      </c>
      <c r="O28" s="43">
        <f t="shared" si="13"/>
        <v>0.51961524227066325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20</v>
      </c>
      <c r="G29" s="53">
        <v>80</v>
      </c>
      <c r="H29" s="53">
        <v>0</v>
      </c>
      <c r="I29" s="39">
        <v>0</v>
      </c>
      <c r="J29" s="48">
        <f t="shared" si="8"/>
        <v>0.2</v>
      </c>
      <c r="K29" s="48">
        <f t="shared" si="9"/>
        <v>0.8</v>
      </c>
      <c r="L29" s="48">
        <f t="shared" si="10"/>
        <v>0</v>
      </c>
      <c r="M29" s="48">
        <f t="shared" si="11"/>
        <v>0</v>
      </c>
      <c r="N29" s="43">
        <f t="shared" si="12"/>
        <v>0.1</v>
      </c>
      <c r="O29" s="43">
        <f t="shared" si="13"/>
        <v>0.17320508075688776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20</v>
      </c>
      <c r="G30" s="53">
        <v>0</v>
      </c>
      <c r="H30" s="53">
        <v>80</v>
      </c>
      <c r="I30" s="39">
        <v>0</v>
      </c>
      <c r="J30" s="48">
        <f t="shared" si="8"/>
        <v>0.2</v>
      </c>
      <c r="K30" s="48">
        <f t="shared" si="9"/>
        <v>0</v>
      </c>
      <c r="L30" s="48">
        <f t="shared" si="10"/>
        <v>0.8</v>
      </c>
      <c r="M30" s="48">
        <f t="shared" si="11"/>
        <v>0</v>
      </c>
      <c r="N30" s="43">
        <f t="shared" si="12"/>
        <v>0.9</v>
      </c>
      <c r="O30" s="43">
        <f t="shared" si="13"/>
        <v>0.17320508075688776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5</v>
      </c>
      <c r="G31" s="53">
        <v>33</v>
      </c>
      <c r="H31" s="53">
        <v>62</v>
      </c>
      <c r="I31" s="39">
        <v>0</v>
      </c>
      <c r="J31" s="48">
        <f t="shared" si="8"/>
        <v>0.05</v>
      </c>
      <c r="K31" s="48">
        <f t="shared" si="9"/>
        <v>0.33</v>
      </c>
      <c r="L31" s="48">
        <f t="shared" si="10"/>
        <v>0.62</v>
      </c>
      <c r="M31" s="48">
        <f t="shared" si="11"/>
        <v>0</v>
      </c>
      <c r="N31" s="43">
        <f t="shared" si="12"/>
        <v>0.64500000000000002</v>
      </c>
      <c r="O31" s="43">
        <f t="shared" si="13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5</v>
      </c>
      <c r="G32" s="53">
        <v>95</v>
      </c>
      <c r="H32" s="53">
        <v>0</v>
      </c>
      <c r="I32" s="39">
        <v>0</v>
      </c>
      <c r="J32" s="48">
        <f t="shared" si="8"/>
        <v>0.05</v>
      </c>
      <c r="K32" s="48">
        <f t="shared" si="9"/>
        <v>0.95</v>
      </c>
      <c r="L32" s="48">
        <f t="shared" si="10"/>
        <v>0</v>
      </c>
      <c r="M32" s="48">
        <f t="shared" si="11"/>
        <v>0</v>
      </c>
      <c r="N32" s="43">
        <f t="shared" si="12"/>
        <v>2.5000000000000001E-2</v>
      </c>
      <c r="O32" s="43">
        <f t="shared" si="13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F33" s="53">
        <v>0</v>
      </c>
      <c r="G33" s="53">
        <v>100</v>
      </c>
      <c r="H33" s="53">
        <v>0</v>
      </c>
      <c r="I33" s="39">
        <v>0</v>
      </c>
      <c r="J33" s="48">
        <f t="shared" si="8"/>
        <v>0</v>
      </c>
      <c r="K33" s="48">
        <f t="shared" si="9"/>
        <v>1</v>
      </c>
      <c r="L33" s="48">
        <f t="shared" si="10"/>
        <v>0</v>
      </c>
      <c r="M33" s="48">
        <f t="shared" si="11"/>
        <v>0</v>
      </c>
      <c r="N33" s="43">
        <f t="shared" si="12"/>
        <v>0</v>
      </c>
      <c r="O33" s="43">
        <f t="shared" si="13"/>
        <v>0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0</v>
      </c>
      <c r="G34" s="53">
        <v>90</v>
      </c>
      <c r="H34" s="53">
        <v>10</v>
      </c>
      <c r="I34" s="39">
        <v>0</v>
      </c>
      <c r="J34" s="48">
        <f t="shared" si="8"/>
        <v>0</v>
      </c>
      <c r="K34" s="48">
        <f t="shared" si="9"/>
        <v>0.9</v>
      </c>
      <c r="L34" s="48">
        <f t="shared" si="10"/>
        <v>0.1</v>
      </c>
      <c r="M34" s="48">
        <f t="shared" si="11"/>
        <v>0</v>
      </c>
      <c r="N34" s="43">
        <f t="shared" si="12"/>
        <v>0.1</v>
      </c>
      <c r="O34" s="43">
        <f t="shared" si="13"/>
        <v>0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5</v>
      </c>
      <c r="F35" s="53">
        <v>60</v>
      </c>
      <c r="G35" s="53">
        <v>36</v>
      </c>
      <c r="H35" s="53">
        <v>4</v>
      </c>
      <c r="I35" s="39">
        <v>0</v>
      </c>
      <c r="J35" s="48">
        <f t="shared" si="8"/>
        <v>0.6</v>
      </c>
      <c r="K35" s="48">
        <f t="shared" si="9"/>
        <v>0.36</v>
      </c>
      <c r="L35" s="48">
        <f t="shared" si="10"/>
        <v>0.04</v>
      </c>
      <c r="M35" s="48">
        <f t="shared" si="11"/>
        <v>0</v>
      </c>
      <c r="N35" s="43">
        <f t="shared" si="12"/>
        <v>0.33999999999999997</v>
      </c>
      <c r="O35" s="43">
        <f t="shared" si="13"/>
        <v>0.51961524227066325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20</v>
      </c>
      <c r="G36" s="53">
        <v>8</v>
      </c>
      <c r="H36" s="53">
        <v>72</v>
      </c>
      <c r="I36" s="39">
        <v>0</v>
      </c>
      <c r="J36" s="48">
        <f t="shared" si="8"/>
        <v>0.2</v>
      </c>
      <c r="K36" s="48">
        <f t="shared" si="9"/>
        <v>0.08</v>
      </c>
      <c r="L36" s="48">
        <f t="shared" si="10"/>
        <v>0.72</v>
      </c>
      <c r="M36" s="48">
        <f t="shared" si="11"/>
        <v>0</v>
      </c>
      <c r="N36" s="43">
        <f t="shared" si="12"/>
        <v>0.82</v>
      </c>
      <c r="O36" s="43">
        <f t="shared" si="13"/>
        <v>0.17320508075688776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6</v>
      </c>
      <c r="F37" s="53">
        <v>60</v>
      </c>
      <c r="G37" s="53">
        <v>4</v>
      </c>
      <c r="H37" s="53">
        <v>36</v>
      </c>
      <c r="I37" s="39">
        <v>0</v>
      </c>
      <c r="J37" s="48">
        <f t="shared" si="8"/>
        <v>0.6</v>
      </c>
      <c r="K37" s="48">
        <f t="shared" si="9"/>
        <v>0.04</v>
      </c>
      <c r="L37" s="48">
        <f t="shared" si="10"/>
        <v>0.36</v>
      </c>
      <c r="M37" s="48">
        <f t="shared" si="11"/>
        <v>0</v>
      </c>
      <c r="N37" s="43">
        <f t="shared" si="12"/>
        <v>0.65999999999999992</v>
      </c>
      <c r="O37" s="43">
        <f t="shared" si="13"/>
        <v>0.51961524227066325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35</v>
      </c>
      <c r="H38" s="53">
        <v>65</v>
      </c>
      <c r="I38" s="39">
        <v>0</v>
      </c>
      <c r="J38" s="48">
        <f t="shared" si="8"/>
        <v>0</v>
      </c>
      <c r="K38" s="48">
        <f t="shared" si="9"/>
        <v>0.35</v>
      </c>
      <c r="L38" s="48">
        <f t="shared" si="10"/>
        <v>0.65</v>
      </c>
      <c r="M38" s="48">
        <f t="shared" si="11"/>
        <v>0</v>
      </c>
      <c r="N38" s="43">
        <f t="shared" si="12"/>
        <v>0.65</v>
      </c>
      <c r="O38" s="43">
        <f t="shared" si="13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7</v>
      </c>
      <c r="F39" s="53">
        <v>60</v>
      </c>
      <c r="G39" s="53">
        <v>14</v>
      </c>
      <c r="H39" s="53">
        <v>26</v>
      </c>
      <c r="I39" s="39">
        <v>0</v>
      </c>
      <c r="J39" s="48">
        <f t="shared" si="8"/>
        <v>0.6</v>
      </c>
      <c r="K39" s="48">
        <f t="shared" si="9"/>
        <v>0.14000000000000001</v>
      </c>
      <c r="L39" s="48">
        <f t="shared" si="10"/>
        <v>0.26</v>
      </c>
      <c r="M39" s="48">
        <f t="shared" si="11"/>
        <v>0</v>
      </c>
      <c r="N39" s="43">
        <f t="shared" si="12"/>
        <v>0.56000000000000005</v>
      </c>
      <c r="O39" s="43">
        <f t="shared" si="13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F40" s="53">
        <v>0</v>
      </c>
      <c r="G40" s="53">
        <v>35</v>
      </c>
      <c r="H40" s="53">
        <v>65</v>
      </c>
      <c r="I40" s="39">
        <v>0</v>
      </c>
      <c r="J40" s="48">
        <f t="shared" si="8"/>
        <v>0</v>
      </c>
      <c r="K40" s="48">
        <f t="shared" si="9"/>
        <v>0.35</v>
      </c>
      <c r="L40" s="48">
        <f t="shared" si="10"/>
        <v>0.65</v>
      </c>
      <c r="M40" s="48">
        <f t="shared" si="11"/>
        <v>0</v>
      </c>
      <c r="N40" s="43">
        <f t="shared" si="12"/>
        <v>0.65</v>
      </c>
      <c r="O40" s="43">
        <f t="shared" si="13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8</v>
      </c>
      <c r="F41" s="53">
        <v>20</v>
      </c>
      <c r="G41" s="53">
        <v>52</v>
      </c>
      <c r="H41" s="53">
        <v>28</v>
      </c>
      <c r="I41" s="39">
        <v>0</v>
      </c>
      <c r="J41" s="48">
        <f t="shared" si="8"/>
        <v>0.2</v>
      </c>
      <c r="K41" s="48">
        <f t="shared" si="9"/>
        <v>0.52</v>
      </c>
      <c r="L41" s="48">
        <f t="shared" si="10"/>
        <v>0.28000000000000003</v>
      </c>
      <c r="M41" s="48">
        <f t="shared" si="11"/>
        <v>0</v>
      </c>
      <c r="N41" s="43">
        <f t="shared" si="12"/>
        <v>0.38</v>
      </c>
      <c r="O41" s="43">
        <f t="shared" si="13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8</v>
      </c>
      <c r="F42" s="53">
        <v>60</v>
      </c>
      <c r="G42" s="53">
        <v>26</v>
      </c>
      <c r="H42" s="53">
        <v>14</v>
      </c>
      <c r="I42" s="39">
        <v>0</v>
      </c>
      <c r="J42" s="48">
        <f t="shared" si="8"/>
        <v>0.6</v>
      </c>
      <c r="K42" s="48">
        <f t="shared" si="9"/>
        <v>0.26</v>
      </c>
      <c r="L42" s="48">
        <f t="shared" si="10"/>
        <v>0.14000000000000001</v>
      </c>
      <c r="M42" s="48">
        <f t="shared" si="11"/>
        <v>0</v>
      </c>
      <c r="N42" s="43">
        <f t="shared" si="12"/>
        <v>0.44</v>
      </c>
      <c r="O42" s="43">
        <f t="shared" si="13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I43" s="39">
        <v>60</v>
      </c>
      <c r="J43" s="48">
        <f t="shared" si="8"/>
        <v>0</v>
      </c>
      <c r="K43" s="48">
        <f t="shared" si="9"/>
        <v>0</v>
      </c>
      <c r="L43" s="48">
        <f t="shared" si="10"/>
        <v>0.4</v>
      </c>
      <c r="M43" s="48">
        <f t="shared" si="11"/>
        <v>0.6</v>
      </c>
      <c r="N43" s="43">
        <f t="shared" si="12"/>
        <v>0.7</v>
      </c>
      <c r="O43" s="43">
        <f t="shared" si="13"/>
        <v>-0.51961524227066325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I44" s="39">
        <v>60</v>
      </c>
      <c r="J44" s="48">
        <f t="shared" si="8"/>
        <v>0</v>
      </c>
      <c r="K44" s="48">
        <f t="shared" si="9"/>
        <v>0.4</v>
      </c>
      <c r="L44" s="48">
        <f t="shared" si="10"/>
        <v>0</v>
      </c>
      <c r="M44" s="48">
        <f t="shared" si="11"/>
        <v>0.6</v>
      </c>
      <c r="N44" s="43">
        <f t="shared" si="12"/>
        <v>0.3</v>
      </c>
      <c r="O44" s="43">
        <f t="shared" si="13"/>
        <v>-0.51961524227066325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I45" s="39">
        <v>10</v>
      </c>
      <c r="J45" s="48">
        <f t="shared" si="8"/>
        <v>0</v>
      </c>
      <c r="K45" s="48">
        <f t="shared" si="9"/>
        <v>0.9</v>
      </c>
      <c r="L45" s="48">
        <f t="shared" si="10"/>
        <v>0</v>
      </c>
      <c r="M45" s="48">
        <f t="shared" si="11"/>
        <v>0.1</v>
      </c>
      <c r="N45" s="43">
        <f t="shared" si="12"/>
        <v>0.05</v>
      </c>
      <c r="O45" s="43">
        <f t="shared" si="13"/>
        <v>-8.6602540378443879E-2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I46" s="39">
        <v>10</v>
      </c>
      <c r="J46" s="48">
        <f t="shared" si="8"/>
        <v>0</v>
      </c>
      <c r="K46" s="48">
        <f t="shared" si="9"/>
        <v>0</v>
      </c>
      <c r="L46" s="48">
        <f t="shared" si="10"/>
        <v>0.9</v>
      </c>
      <c r="M46" s="48">
        <f t="shared" si="11"/>
        <v>0.1</v>
      </c>
      <c r="N46" s="43">
        <f t="shared" si="12"/>
        <v>0.95000000000000007</v>
      </c>
      <c r="O46" s="43">
        <f t="shared" si="13"/>
        <v>-8.6602540378443879E-2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I47" s="39">
        <v>0</v>
      </c>
      <c r="J47" s="48">
        <f t="shared" si="8"/>
        <v>0</v>
      </c>
      <c r="K47" s="48">
        <f t="shared" si="9"/>
        <v>0.9</v>
      </c>
      <c r="L47" s="48">
        <f t="shared" si="10"/>
        <v>0.1</v>
      </c>
      <c r="M47" s="48">
        <f t="shared" si="11"/>
        <v>0</v>
      </c>
      <c r="N47" s="43">
        <f t="shared" si="12"/>
        <v>0.1</v>
      </c>
      <c r="O47" s="43">
        <f t="shared" si="13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I48" s="39">
        <v>60</v>
      </c>
      <c r="J48" s="48">
        <f t="shared" si="8"/>
        <v>0</v>
      </c>
      <c r="K48" s="48">
        <f t="shared" si="9"/>
        <v>0.36</v>
      </c>
      <c r="L48" s="48">
        <f t="shared" si="10"/>
        <v>0.04</v>
      </c>
      <c r="M48" s="48">
        <f t="shared" si="11"/>
        <v>0.6</v>
      </c>
      <c r="N48" s="43">
        <f t="shared" si="12"/>
        <v>0.33999999999999997</v>
      </c>
      <c r="O48" s="43">
        <f t="shared" si="13"/>
        <v>-0.51961524227066325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I49" s="39">
        <v>60</v>
      </c>
      <c r="J49" s="48">
        <f t="shared" si="8"/>
        <v>0</v>
      </c>
      <c r="K49" s="48">
        <f t="shared" si="9"/>
        <v>0.04</v>
      </c>
      <c r="L49" s="48">
        <f t="shared" si="10"/>
        <v>0.36</v>
      </c>
      <c r="M49" s="48">
        <f t="shared" si="11"/>
        <v>0.6</v>
      </c>
      <c r="N49" s="43">
        <f t="shared" si="12"/>
        <v>0.65999999999999992</v>
      </c>
      <c r="O49" s="43">
        <f t="shared" si="13"/>
        <v>-0.51961524227066325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I50" s="39">
        <v>10</v>
      </c>
      <c r="J50" s="48">
        <f t="shared" si="8"/>
        <v>0</v>
      </c>
      <c r="K50" s="48">
        <f t="shared" si="9"/>
        <v>0.09</v>
      </c>
      <c r="L50" s="48">
        <f t="shared" si="10"/>
        <v>0.81</v>
      </c>
      <c r="M50" s="48">
        <f t="shared" si="11"/>
        <v>0.1</v>
      </c>
      <c r="N50" s="43">
        <f t="shared" si="12"/>
        <v>0.8600000000000001</v>
      </c>
      <c r="O50" s="43">
        <f t="shared" si="13"/>
        <v>-8.6602540378443879E-2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I51" s="39">
        <v>0</v>
      </c>
      <c r="J51" s="48">
        <f t="shared" si="8"/>
        <v>0</v>
      </c>
      <c r="K51" s="48">
        <f t="shared" si="9"/>
        <v>0.35</v>
      </c>
      <c r="L51" s="48">
        <f t="shared" si="10"/>
        <v>0.65</v>
      </c>
      <c r="M51" s="48">
        <f t="shared" si="11"/>
        <v>0</v>
      </c>
      <c r="N51" s="43">
        <f t="shared" si="12"/>
        <v>0.65</v>
      </c>
      <c r="O51" s="43">
        <f t="shared" si="13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I52" s="39">
        <v>10</v>
      </c>
      <c r="J52" s="48">
        <f t="shared" si="8"/>
        <v>0</v>
      </c>
      <c r="K52" s="48">
        <f t="shared" si="9"/>
        <v>0.32</v>
      </c>
      <c r="L52" s="48">
        <f t="shared" si="10"/>
        <v>0.57999999999999996</v>
      </c>
      <c r="M52" s="48">
        <f t="shared" si="11"/>
        <v>0.1</v>
      </c>
      <c r="N52" s="43">
        <f t="shared" si="12"/>
        <v>0.63</v>
      </c>
      <c r="O52" s="43">
        <f t="shared" si="13"/>
        <v>-8.6602540378443879E-2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I53" s="39">
        <v>0</v>
      </c>
      <c r="J53" s="48">
        <f t="shared" si="8"/>
        <v>0</v>
      </c>
      <c r="K53" s="48">
        <f t="shared" si="9"/>
        <v>0.65</v>
      </c>
      <c r="L53" s="48">
        <f t="shared" si="10"/>
        <v>0.35</v>
      </c>
      <c r="M53" s="48">
        <f t="shared" si="11"/>
        <v>0</v>
      </c>
      <c r="N53" s="43">
        <f t="shared" si="12"/>
        <v>0.35</v>
      </c>
      <c r="O53" s="43">
        <f t="shared" si="13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I54" s="39">
        <v>10</v>
      </c>
      <c r="J54" s="48">
        <f t="shared" si="8"/>
        <v>0</v>
      </c>
      <c r="K54" s="48">
        <f t="shared" si="9"/>
        <v>0.57999999999999996</v>
      </c>
      <c r="L54" s="48">
        <f t="shared" si="10"/>
        <v>0.32</v>
      </c>
      <c r="M54" s="48">
        <f t="shared" si="11"/>
        <v>0.1</v>
      </c>
      <c r="N54" s="43">
        <f t="shared" si="12"/>
        <v>0.37</v>
      </c>
      <c r="O54" s="43">
        <f t="shared" si="13"/>
        <v>-8.6602540378443879E-2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I55" s="39">
        <v>10</v>
      </c>
      <c r="J55" s="48">
        <f t="shared" si="8"/>
        <v>0</v>
      </c>
      <c r="K55" s="48">
        <f t="shared" si="9"/>
        <v>0.45</v>
      </c>
      <c r="L55" s="48">
        <f t="shared" si="10"/>
        <v>0.45</v>
      </c>
      <c r="M55" s="48">
        <f t="shared" si="11"/>
        <v>0.1</v>
      </c>
      <c r="N55" s="43">
        <f t="shared" si="12"/>
        <v>0.5</v>
      </c>
      <c r="O55" s="43">
        <f t="shared" si="13"/>
        <v>-8.6602540378443879E-2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I56" s="39">
        <v>90</v>
      </c>
      <c r="J56" s="48">
        <f t="shared" si="8"/>
        <v>0</v>
      </c>
      <c r="K56" s="48">
        <f t="shared" si="9"/>
        <v>0.05</v>
      </c>
      <c r="L56" s="48">
        <f t="shared" si="10"/>
        <v>0.05</v>
      </c>
      <c r="M56" s="48">
        <f t="shared" si="11"/>
        <v>0.9</v>
      </c>
      <c r="N56" s="43">
        <f t="shared" si="12"/>
        <v>0.5</v>
      </c>
      <c r="O56" s="43">
        <f t="shared" si="13"/>
        <v>-0.77942286340599487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I57" s="39">
        <v>0</v>
      </c>
      <c r="J57" s="48">
        <f t="shared" si="8"/>
        <v>0</v>
      </c>
      <c r="K57" s="48">
        <f t="shared" si="9"/>
        <v>0.65</v>
      </c>
      <c r="L57" s="48">
        <f t="shared" si="10"/>
        <v>0.35</v>
      </c>
      <c r="M57" s="48">
        <f t="shared" si="11"/>
        <v>0</v>
      </c>
      <c r="N57" s="43">
        <f t="shared" si="12"/>
        <v>0.35</v>
      </c>
      <c r="O57" s="43">
        <f t="shared" si="13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I58" s="39">
        <v>0</v>
      </c>
      <c r="J58" s="48">
        <f t="shared" si="8"/>
        <v>0.2</v>
      </c>
      <c r="K58" s="48">
        <f t="shared" si="9"/>
        <v>0.52</v>
      </c>
      <c r="L58" s="48">
        <f t="shared" si="10"/>
        <v>0.28000000000000003</v>
      </c>
      <c r="M58" s="48">
        <f t="shared" si="11"/>
        <v>0</v>
      </c>
      <c r="N58" s="43">
        <f t="shared" si="12"/>
        <v>0.38</v>
      </c>
      <c r="O58" s="43">
        <f t="shared" si="13"/>
        <v>0.17320508075688776</v>
      </c>
    </row>
    <row r="59" spans="5:15" x14ac:dyDescent="0.2">
      <c r="E59" s="35">
        <v>19</v>
      </c>
      <c r="F59" s="53">
        <v>0</v>
      </c>
      <c r="G59" s="53">
        <v>10</v>
      </c>
      <c r="H59" s="53">
        <v>0</v>
      </c>
      <c r="I59" s="39">
        <v>90</v>
      </c>
      <c r="J59" s="48">
        <f t="shared" si="8"/>
        <v>0</v>
      </c>
      <c r="K59" s="48">
        <f t="shared" si="9"/>
        <v>0.1</v>
      </c>
      <c r="L59" s="48">
        <f t="shared" si="10"/>
        <v>0</v>
      </c>
      <c r="M59" s="48">
        <f t="shared" si="11"/>
        <v>0.9</v>
      </c>
      <c r="N59" s="43">
        <f t="shared" si="12"/>
        <v>0.45</v>
      </c>
      <c r="O59" s="43">
        <f t="shared" si="13"/>
        <v>-0.77942286340599487</v>
      </c>
    </row>
    <row r="60" spans="5:15" x14ac:dyDescent="0.2">
      <c r="E60" s="35">
        <v>19</v>
      </c>
      <c r="F60" s="53">
        <v>0</v>
      </c>
      <c r="G60" s="53">
        <v>0</v>
      </c>
      <c r="H60" s="53">
        <v>10</v>
      </c>
      <c r="I60" s="39">
        <v>90</v>
      </c>
      <c r="J60" s="48">
        <f t="shared" si="8"/>
        <v>0</v>
      </c>
      <c r="K60" s="48">
        <f t="shared" si="9"/>
        <v>0</v>
      </c>
      <c r="L60" s="48">
        <f t="shared" si="10"/>
        <v>0.1</v>
      </c>
      <c r="M60" s="48">
        <f t="shared" si="11"/>
        <v>0.9</v>
      </c>
      <c r="N60" s="43">
        <f t="shared" si="12"/>
        <v>0.55000000000000004</v>
      </c>
      <c r="O60" s="43">
        <f t="shared" si="13"/>
        <v>-0.77942286340599487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B58"/>
  <sheetViews>
    <sheetView workbookViewId="0">
      <selection activeCell="D26" sqref="D26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x14ac:dyDescent="0.2">
      <c r="A2" s="35">
        <v>0.5</v>
      </c>
      <c r="B2" s="35">
        <v>0.5</v>
      </c>
      <c r="C2" s="35">
        <v>0.86602540378443871</v>
      </c>
      <c r="F2" s="38" t="s">
        <v>2663</v>
      </c>
      <c r="G2" s="38" t="s">
        <v>2664</v>
      </c>
      <c r="H2" s="38" t="s">
        <v>2665</v>
      </c>
      <c r="I2" s="39" t="s">
        <v>2666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F3" s="38">
        <v>40</v>
      </c>
      <c r="G3" s="38">
        <v>7</v>
      </c>
      <c r="H3" s="38">
        <v>35</v>
      </c>
      <c r="J3" s="48">
        <f t="shared" ref="J3:J24" si="0">$F3/($F3+$G3+$H3)</f>
        <v>0.48780487804878048</v>
      </c>
      <c r="K3" s="48">
        <f t="shared" ref="K3:K24" si="1">IF(OR(I3=0,I3=""),$G3/($F3+$G3+$H3),$G3/($I3+$G3+$H3))</f>
        <v>8.5365853658536592E-2</v>
      </c>
      <c r="L3" s="48">
        <f t="shared" ref="L3:L24" si="2">IF(OR(I3=0,I3=""),$H3/($F3+$G3+$H3),$H3/($I3+$G3+$H3))</f>
        <v>0.42682926829268292</v>
      </c>
      <c r="M3" s="48">
        <f t="shared" ref="M3:M24" si="3">$I3/($I3+$G3+$H3)</f>
        <v>0</v>
      </c>
      <c r="N3" s="43">
        <f>IFERROR(IF(M3=0,(0.5*J3+L3),(0.5*M3+L3)),"")</f>
        <v>0.6707317073170731</v>
      </c>
      <c r="O3" s="43">
        <f>IFERROR(IF(M3=0,J3*(COS(30*PI()/180)), -M3*(COS(30*PI()/180))),"")</f>
        <v>0.422451416480214</v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1" si="4">IFERROR(IF(M4=0,(0.5*J4+L4),(0.5*M4+L4)),"")</f>
        <v/>
      </c>
      <c r="O4" s="43" t="str">
        <f t="shared" ref="O4:O21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>IFERROR(IF(M22=0,(0.5*J22+L22),(0.5*M22+L22)),"")</f>
        <v/>
      </c>
      <c r="O22" s="43" t="str">
        <f>IFERROR(IF(M22=0,J22*(COS(30*PI()/180)), -M22*(COS(30*PI()/180))),"")</f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ref="N23:N24" si="6">IFERROR(IF(M23=0,(0.5*J23+L23),(0.5*M23+L23)),"")</f>
        <v/>
      </c>
      <c r="O23" s="43" t="str">
        <f t="shared" ref="O23:O24" si="7">IFERROR(IF(M23=0,J23*(COS(30*PI()/180)), -M23*(COS(30*PI()/180))),"")</f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6"/>
        <v/>
      </c>
      <c r="O24" s="43" t="str">
        <f t="shared" si="7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I25" s="39">
        <v>0</v>
      </c>
      <c r="J25" s="48">
        <f>$F25/($F25+$G25+$H25)</f>
        <v>0.9</v>
      </c>
      <c r="K25" s="48">
        <f t="shared" ref="K25:K42" si="8">IF(OR(I25=0,I25=""),$G25/($F25+$G25+$H25),$G25/($I25+$G25+$H25))</f>
        <v>0.1</v>
      </c>
      <c r="L25" s="48">
        <f t="shared" ref="L25:L42" si="9">IF(OR(I25=0,I25=""),$H25/($F25+$G25+$H25),$H25/($I25+$G25+$H25))</f>
        <v>0</v>
      </c>
      <c r="M25" s="48">
        <f t="shared" ref="M25:M42" si="10">$I25/($I25+$G25+$H25)</f>
        <v>0</v>
      </c>
      <c r="N25" s="43">
        <f t="shared" ref="N25:N45" si="11">IF(M25=0,(0.5*J25+L25),(0.5*M25+L25))</f>
        <v>0.45</v>
      </c>
      <c r="O25" s="43">
        <f t="shared" ref="O25:O58" si="12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I26" s="39">
        <v>0</v>
      </c>
      <c r="J26" s="48">
        <f t="shared" ref="J26:J41" si="13">$F26/($F26+$G26+$H26)</f>
        <v>0.9</v>
      </c>
      <c r="K26" s="48">
        <f t="shared" si="8"/>
        <v>0</v>
      </c>
      <c r="L26" s="48">
        <f t="shared" si="9"/>
        <v>0.1</v>
      </c>
      <c r="M26" s="48">
        <f t="shared" si="10"/>
        <v>0</v>
      </c>
      <c r="N26" s="43">
        <f t="shared" si="11"/>
        <v>0.55000000000000004</v>
      </c>
      <c r="O26" s="43">
        <f t="shared" si="12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60</v>
      </c>
      <c r="G27" s="53">
        <v>0</v>
      </c>
      <c r="H27" s="53">
        <v>40</v>
      </c>
      <c r="I27" s="39">
        <v>0</v>
      </c>
      <c r="J27" s="48">
        <f t="shared" si="13"/>
        <v>0.6</v>
      </c>
      <c r="K27" s="48">
        <f t="shared" si="8"/>
        <v>0</v>
      </c>
      <c r="L27" s="48">
        <f t="shared" si="9"/>
        <v>0.4</v>
      </c>
      <c r="M27" s="48">
        <f t="shared" si="10"/>
        <v>0</v>
      </c>
      <c r="N27" s="43">
        <f t="shared" si="11"/>
        <v>0.7</v>
      </c>
      <c r="O27" s="43">
        <f t="shared" si="12"/>
        <v>0.51961524227066325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60</v>
      </c>
      <c r="G28" s="53">
        <v>40</v>
      </c>
      <c r="H28" s="53">
        <v>0</v>
      </c>
      <c r="I28" s="39">
        <v>0</v>
      </c>
      <c r="J28" s="48">
        <f t="shared" si="13"/>
        <v>0.6</v>
      </c>
      <c r="K28" s="48">
        <f t="shared" si="8"/>
        <v>0.4</v>
      </c>
      <c r="L28" s="48">
        <f t="shared" si="9"/>
        <v>0</v>
      </c>
      <c r="M28" s="48">
        <f t="shared" si="10"/>
        <v>0</v>
      </c>
      <c r="N28" s="43">
        <f t="shared" si="11"/>
        <v>0.3</v>
      </c>
      <c r="O28" s="43">
        <f t="shared" si="12"/>
        <v>0.51961524227066325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20</v>
      </c>
      <c r="G29" s="53">
        <v>80</v>
      </c>
      <c r="H29" s="53">
        <v>0</v>
      </c>
      <c r="I29" s="39">
        <v>0</v>
      </c>
      <c r="J29" s="48">
        <f t="shared" si="13"/>
        <v>0.2</v>
      </c>
      <c r="K29" s="48">
        <f t="shared" si="8"/>
        <v>0.8</v>
      </c>
      <c r="L29" s="48">
        <f t="shared" si="9"/>
        <v>0</v>
      </c>
      <c r="M29" s="48">
        <f t="shared" si="10"/>
        <v>0</v>
      </c>
      <c r="N29" s="43">
        <f t="shared" si="11"/>
        <v>0.1</v>
      </c>
      <c r="O29" s="43">
        <f t="shared" si="12"/>
        <v>0.17320508075688776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20</v>
      </c>
      <c r="G30" s="53">
        <v>0</v>
      </c>
      <c r="H30" s="53">
        <v>80</v>
      </c>
      <c r="I30" s="39">
        <v>0</v>
      </c>
      <c r="J30" s="48">
        <f t="shared" si="13"/>
        <v>0.2</v>
      </c>
      <c r="K30" s="48">
        <f t="shared" si="8"/>
        <v>0</v>
      </c>
      <c r="L30" s="48">
        <f t="shared" si="9"/>
        <v>0.8</v>
      </c>
      <c r="M30" s="48">
        <f t="shared" si="10"/>
        <v>0</v>
      </c>
      <c r="N30" s="43">
        <f t="shared" si="11"/>
        <v>0.9</v>
      </c>
      <c r="O30" s="43">
        <f t="shared" si="12"/>
        <v>0.17320508075688776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5</v>
      </c>
      <c r="G31" s="53">
        <v>0</v>
      </c>
      <c r="H31" s="53">
        <v>95</v>
      </c>
      <c r="I31" s="39">
        <v>0</v>
      </c>
      <c r="J31" s="48">
        <f t="shared" si="13"/>
        <v>0.05</v>
      </c>
      <c r="K31" s="48">
        <f t="shared" si="8"/>
        <v>0</v>
      </c>
      <c r="L31" s="48">
        <f t="shared" si="9"/>
        <v>0.95</v>
      </c>
      <c r="M31" s="48">
        <f t="shared" si="10"/>
        <v>0</v>
      </c>
      <c r="N31" s="43">
        <f t="shared" si="11"/>
        <v>0.97499999999999998</v>
      </c>
      <c r="O31" s="43">
        <f t="shared" si="12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5</v>
      </c>
      <c r="G32" s="53">
        <v>95</v>
      </c>
      <c r="H32" s="53">
        <v>0</v>
      </c>
      <c r="I32" s="39">
        <v>0</v>
      </c>
      <c r="J32" s="48">
        <f t="shared" si="13"/>
        <v>0.05</v>
      </c>
      <c r="K32" s="48">
        <f t="shared" si="8"/>
        <v>0.95</v>
      </c>
      <c r="L32" s="48">
        <f t="shared" si="9"/>
        <v>0</v>
      </c>
      <c r="M32" s="48">
        <f t="shared" si="10"/>
        <v>0</v>
      </c>
      <c r="N32" s="43">
        <f t="shared" si="11"/>
        <v>2.5000000000000001E-2</v>
      </c>
      <c r="O32" s="43">
        <f t="shared" si="12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F33" s="53">
        <v>0</v>
      </c>
      <c r="G33" s="53">
        <v>100</v>
      </c>
      <c r="H33" s="53">
        <v>0</v>
      </c>
      <c r="I33" s="39">
        <v>0</v>
      </c>
      <c r="J33" s="48">
        <f t="shared" si="13"/>
        <v>0</v>
      </c>
      <c r="K33" s="48">
        <f t="shared" si="8"/>
        <v>1</v>
      </c>
      <c r="L33" s="48">
        <f t="shared" si="9"/>
        <v>0</v>
      </c>
      <c r="M33" s="48">
        <f t="shared" si="10"/>
        <v>0</v>
      </c>
      <c r="N33" s="43">
        <f t="shared" si="11"/>
        <v>0</v>
      </c>
      <c r="O33" s="43">
        <f t="shared" si="12"/>
        <v>0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0</v>
      </c>
      <c r="G34" s="53">
        <v>90</v>
      </c>
      <c r="H34" s="53">
        <v>10</v>
      </c>
      <c r="I34" s="39">
        <v>0</v>
      </c>
      <c r="J34" s="48">
        <f t="shared" si="13"/>
        <v>0</v>
      </c>
      <c r="K34" s="48">
        <f t="shared" si="8"/>
        <v>0.9</v>
      </c>
      <c r="L34" s="48">
        <f t="shared" si="9"/>
        <v>0.1</v>
      </c>
      <c r="M34" s="48">
        <f t="shared" si="10"/>
        <v>0</v>
      </c>
      <c r="N34" s="43">
        <f t="shared" si="11"/>
        <v>0.1</v>
      </c>
      <c r="O34" s="43">
        <f t="shared" si="12"/>
        <v>0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5</v>
      </c>
      <c r="F35" s="53">
        <v>60</v>
      </c>
      <c r="G35" s="53">
        <v>36</v>
      </c>
      <c r="H35" s="53">
        <v>4</v>
      </c>
      <c r="I35" s="39">
        <v>0</v>
      </c>
      <c r="J35" s="48">
        <f t="shared" si="13"/>
        <v>0.6</v>
      </c>
      <c r="K35" s="48">
        <f t="shared" si="8"/>
        <v>0.36</v>
      </c>
      <c r="L35" s="48">
        <f t="shared" si="9"/>
        <v>0.04</v>
      </c>
      <c r="M35" s="48">
        <f t="shared" si="10"/>
        <v>0</v>
      </c>
      <c r="N35" s="43">
        <f t="shared" si="11"/>
        <v>0.33999999999999997</v>
      </c>
      <c r="O35" s="43">
        <f t="shared" si="12"/>
        <v>0.51961524227066325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60</v>
      </c>
      <c r="G36" s="53">
        <v>4</v>
      </c>
      <c r="H36" s="53">
        <v>36</v>
      </c>
      <c r="I36" s="39">
        <v>0</v>
      </c>
      <c r="J36" s="48">
        <f>$F36/($F36+$G36+$H36)</f>
        <v>0.6</v>
      </c>
      <c r="K36" s="48">
        <f t="shared" si="8"/>
        <v>0.04</v>
      </c>
      <c r="L36" s="48">
        <f t="shared" si="9"/>
        <v>0.36</v>
      </c>
      <c r="M36" s="48">
        <f t="shared" si="10"/>
        <v>0</v>
      </c>
      <c r="N36" s="43">
        <f t="shared" si="11"/>
        <v>0.65999999999999992</v>
      </c>
      <c r="O36" s="43">
        <f t="shared" si="12"/>
        <v>0.51961524227066325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6</v>
      </c>
      <c r="F37" s="53">
        <v>0</v>
      </c>
      <c r="G37" s="53">
        <v>10</v>
      </c>
      <c r="H37" s="53">
        <v>90</v>
      </c>
      <c r="I37" s="39">
        <v>0</v>
      </c>
      <c r="J37" s="48">
        <f t="shared" si="13"/>
        <v>0</v>
      </c>
      <c r="K37" s="48">
        <f t="shared" si="8"/>
        <v>0.1</v>
      </c>
      <c r="L37" s="48">
        <f t="shared" si="9"/>
        <v>0.9</v>
      </c>
      <c r="M37" s="48">
        <f t="shared" si="10"/>
        <v>0</v>
      </c>
      <c r="N37" s="43">
        <f t="shared" si="11"/>
        <v>0.9</v>
      </c>
      <c r="O37" s="43">
        <f t="shared" si="12"/>
        <v>0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35</v>
      </c>
      <c r="H38" s="53">
        <v>65</v>
      </c>
      <c r="I38" s="39">
        <v>0</v>
      </c>
      <c r="J38" s="48">
        <f t="shared" si="13"/>
        <v>0</v>
      </c>
      <c r="K38" s="48">
        <f t="shared" si="8"/>
        <v>0.35</v>
      </c>
      <c r="L38" s="48">
        <f t="shared" si="9"/>
        <v>0.65</v>
      </c>
      <c r="M38" s="48">
        <f t="shared" si="10"/>
        <v>0</v>
      </c>
      <c r="N38" s="43">
        <f t="shared" si="11"/>
        <v>0.65</v>
      </c>
      <c r="O38" s="43">
        <f t="shared" si="12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7</v>
      </c>
      <c r="F39" s="53">
        <v>60</v>
      </c>
      <c r="G39" s="53">
        <v>14</v>
      </c>
      <c r="H39" s="53">
        <v>26</v>
      </c>
      <c r="I39" s="39">
        <v>0</v>
      </c>
      <c r="J39" s="48">
        <f t="shared" si="13"/>
        <v>0.6</v>
      </c>
      <c r="K39" s="48">
        <f t="shared" si="8"/>
        <v>0.14000000000000001</v>
      </c>
      <c r="L39" s="48">
        <f t="shared" si="9"/>
        <v>0.26</v>
      </c>
      <c r="M39" s="48">
        <f t="shared" si="10"/>
        <v>0</v>
      </c>
      <c r="N39" s="43">
        <f t="shared" si="11"/>
        <v>0.56000000000000005</v>
      </c>
      <c r="O39" s="43">
        <f t="shared" si="12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F40" s="53">
        <v>0</v>
      </c>
      <c r="G40" s="53">
        <v>35</v>
      </c>
      <c r="H40" s="53">
        <v>65</v>
      </c>
      <c r="I40" s="39">
        <v>0</v>
      </c>
      <c r="J40" s="48">
        <f t="shared" si="13"/>
        <v>0</v>
      </c>
      <c r="K40" s="48">
        <f t="shared" si="8"/>
        <v>0.35</v>
      </c>
      <c r="L40" s="48">
        <f t="shared" si="9"/>
        <v>0.65</v>
      </c>
      <c r="M40" s="48">
        <f t="shared" si="10"/>
        <v>0</v>
      </c>
      <c r="N40" s="43">
        <f t="shared" si="11"/>
        <v>0.65</v>
      </c>
      <c r="O40" s="43">
        <f t="shared" si="12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8</v>
      </c>
      <c r="F41" s="53">
        <v>20</v>
      </c>
      <c r="G41" s="53">
        <v>52</v>
      </c>
      <c r="H41" s="53">
        <v>28</v>
      </c>
      <c r="I41" s="39">
        <v>0</v>
      </c>
      <c r="J41" s="48">
        <f t="shared" si="13"/>
        <v>0.2</v>
      </c>
      <c r="K41" s="48">
        <f t="shared" si="8"/>
        <v>0.52</v>
      </c>
      <c r="L41" s="48">
        <f t="shared" si="9"/>
        <v>0.28000000000000003</v>
      </c>
      <c r="M41" s="48">
        <f t="shared" si="10"/>
        <v>0</v>
      </c>
      <c r="N41" s="43">
        <f t="shared" si="11"/>
        <v>0.38</v>
      </c>
      <c r="O41" s="43">
        <f t="shared" si="12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8</v>
      </c>
      <c r="F42" s="53">
        <v>60</v>
      </c>
      <c r="G42" s="53">
        <v>26</v>
      </c>
      <c r="H42" s="53">
        <v>14</v>
      </c>
      <c r="I42" s="39">
        <v>0</v>
      </c>
      <c r="J42" s="48">
        <f>$F42/($F42+$G42+$H42)</f>
        <v>0.6</v>
      </c>
      <c r="K42" s="48">
        <f t="shared" si="8"/>
        <v>0.26</v>
      </c>
      <c r="L42" s="48">
        <f t="shared" si="9"/>
        <v>0.14000000000000001</v>
      </c>
      <c r="M42" s="48">
        <f t="shared" si="10"/>
        <v>0</v>
      </c>
      <c r="N42" s="43">
        <f t="shared" si="11"/>
        <v>0.44</v>
      </c>
      <c r="O42" s="43">
        <f t="shared" si="12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I43" s="39">
        <v>60</v>
      </c>
      <c r="J43" s="48">
        <f t="shared" ref="J43:J57" si="14">$F43/($F43+$G43+$H43)</f>
        <v>0</v>
      </c>
      <c r="K43" s="48">
        <f>IF(OR(I43=0,I43=""),$G43/($F43+$G43+$H43),$G43/($I43+$G43+$H43))</f>
        <v>0</v>
      </c>
      <c r="L43" s="48">
        <f>IF(OR(I43=0,I43=""),$H43/($F43+$G43+$H43),$H43/($I43+$G43+$H43))</f>
        <v>0.4</v>
      </c>
      <c r="M43" s="48">
        <f>$I43/($I43+$G43+$H43)</f>
        <v>0.6</v>
      </c>
      <c r="N43" s="43">
        <f t="shared" si="11"/>
        <v>0.7</v>
      </c>
      <c r="O43" s="43">
        <f t="shared" si="12"/>
        <v>-0.51961524227066325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I44" s="39">
        <v>60</v>
      </c>
      <c r="J44" s="48">
        <f t="shared" si="14"/>
        <v>0</v>
      </c>
      <c r="K44" s="48">
        <f t="shared" ref="K44:K58" si="15">IF(OR(I44=0,I44=""),$G44/($F44+$G44+$H44),$G44/($I44+$G44+$H44))</f>
        <v>0.4</v>
      </c>
      <c r="L44" s="48">
        <f t="shared" ref="L44:L58" si="16">IF(OR(I44=0,I44=""),$H44/($F44+$G44+$H44),$H44/($I44+$G44+$H44))</f>
        <v>0</v>
      </c>
      <c r="M44" s="48">
        <f>$I44/($I44+$G44+$H44)</f>
        <v>0.6</v>
      </c>
      <c r="N44" s="43">
        <f t="shared" si="11"/>
        <v>0.3</v>
      </c>
      <c r="O44" s="43">
        <f t="shared" si="12"/>
        <v>-0.51961524227066325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I45" s="39">
        <v>10</v>
      </c>
      <c r="J45" s="48">
        <f t="shared" si="14"/>
        <v>0</v>
      </c>
      <c r="K45" s="48">
        <f t="shared" si="15"/>
        <v>0.9</v>
      </c>
      <c r="L45" s="48">
        <f t="shared" si="16"/>
        <v>0</v>
      </c>
      <c r="M45" s="48">
        <f t="shared" ref="M45:M58" si="17">$I45/($I45+$G45+$H45)</f>
        <v>0.1</v>
      </c>
      <c r="N45" s="43">
        <f t="shared" si="11"/>
        <v>0.05</v>
      </c>
      <c r="O45" s="43">
        <f t="shared" si="12"/>
        <v>-8.6602540378443879E-2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I46" s="39">
        <v>10</v>
      </c>
      <c r="J46" s="48">
        <f t="shared" si="14"/>
        <v>0</v>
      </c>
      <c r="K46" s="48">
        <f t="shared" si="15"/>
        <v>0</v>
      </c>
      <c r="L46" s="48">
        <f t="shared" si="16"/>
        <v>0.9</v>
      </c>
      <c r="M46" s="48">
        <f t="shared" si="17"/>
        <v>0.1</v>
      </c>
      <c r="N46" s="43">
        <f>IF(M46=0,(0.5*J46+L46),(0.5*M46+L46))</f>
        <v>0.95000000000000007</v>
      </c>
      <c r="O46" s="43">
        <f t="shared" si="12"/>
        <v>-8.6602540378443879E-2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I47" s="39">
        <v>0</v>
      </c>
      <c r="J47" s="48">
        <f t="shared" si="14"/>
        <v>0</v>
      </c>
      <c r="K47" s="48">
        <f t="shared" si="15"/>
        <v>0.9</v>
      </c>
      <c r="L47" s="48">
        <f t="shared" si="16"/>
        <v>0.1</v>
      </c>
      <c r="M47" s="48">
        <f t="shared" si="17"/>
        <v>0</v>
      </c>
      <c r="N47" s="43">
        <f t="shared" ref="N47:N58" si="18">IF(M47=0,(0.5*J47+L47),(0.5*M47+L47))</f>
        <v>0.1</v>
      </c>
      <c r="O47" s="43">
        <f t="shared" si="12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I48" s="39">
        <v>60</v>
      </c>
      <c r="J48" s="48">
        <f t="shared" si="14"/>
        <v>0</v>
      </c>
      <c r="K48" s="48">
        <f t="shared" si="15"/>
        <v>0.36</v>
      </c>
      <c r="L48" s="48">
        <f t="shared" si="16"/>
        <v>0.04</v>
      </c>
      <c r="M48" s="48">
        <f t="shared" si="17"/>
        <v>0.6</v>
      </c>
      <c r="N48" s="43">
        <f t="shared" si="18"/>
        <v>0.33999999999999997</v>
      </c>
      <c r="O48" s="43">
        <f t="shared" si="12"/>
        <v>-0.51961524227066325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I49" s="39">
        <v>60</v>
      </c>
      <c r="J49" s="48">
        <f t="shared" si="14"/>
        <v>0</v>
      </c>
      <c r="K49" s="48">
        <f t="shared" si="15"/>
        <v>0.04</v>
      </c>
      <c r="L49" s="48">
        <f t="shared" si="16"/>
        <v>0.36</v>
      </c>
      <c r="M49" s="48">
        <f t="shared" si="17"/>
        <v>0.6</v>
      </c>
      <c r="N49" s="43">
        <f t="shared" si="18"/>
        <v>0.65999999999999992</v>
      </c>
      <c r="O49" s="43">
        <f t="shared" si="12"/>
        <v>-0.51961524227066325</v>
      </c>
    </row>
    <row r="50" spans="5:15" x14ac:dyDescent="0.2">
      <c r="E50" s="35">
        <v>14</v>
      </c>
      <c r="F50" s="53">
        <v>0</v>
      </c>
      <c r="G50" s="53">
        <v>10</v>
      </c>
      <c r="H50" s="53">
        <v>90</v>
      </c>
      <c r="I50" s="39">
        <v>0</v>
      </c>
      <c r="J50" s="48">
        <f t="shared" si="14"/>
        <v>0</v>
      </c>
      <c r="K50" s="48">
        <f t="shared" si="15"/>
        <v>0.1</v>
      </c>
      <c r="L50" s="48">
        <f t="shared" si="16"/>
        <v>0.9</v>
      </c>
      <c r="M50" s="48">
        <f t="shared" si="17"/>
        <v>0</v>
      </c>
      <c r="N50" s="43">
        <f t="shared" si="18"/>
        <v>0.9</v>
      </c>
      <c r="O50" s="43">
        <f t="shared" si="12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I51" s="39">
        <v>0</v>
      </c>
      <c r="J51" s="48">
        <f t="shared" si="14"/>
        <v>0</v>
      </c>
      <c r="K51" s="48">
        <f t="shared" si="15"/>
        <v>0.35</v>
      </c>
      <c r="L51" s="48">
        <f t="shared" si="16"/>
        <v>0.65</v>
      </c>
      <c r="M51" s="48">
        <f t="shared" si="17"/>
        <v>0</v>
      </c>
      <c r="N51" s="43">
        <f t="shared" si="18"/>
        <v>0.65</v>
      </c>
      <c r="O51" s="43">
        <f t="shared" si="12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I52" s="39">
        <v>10</v>
      </c>
      <c r="J52" s="48">
        <f t="shared" si="14"/>
        <v>0</v>
      </c>
      <c r="K52" s="48">
        <f t="shared" si="15"/>
        <v>0.32</v>
      </c>
      <c r="L52" s="48">
        <f t="shared" si="16"/>
        <v>0.57999999999999996</v>
      </c>
      <c r="M52" s="48">
        <f t="shared" si="17"/>
        <v>0.1</v>
      </c>
      <c r="N52" s="43">
        <f t="shared" si="18"/>
        <v>0.63</v>
      </c>
      <c r="O52" s="43">
        <f t="shared" si="12"/>
        <v>-8.6602540378443879E-2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I53" s="39">
        <v>0</v>
      </c>
      <c r="J53" s="48">
        <f t="shared" si="14"/>
        <v>0</v>
      </c>
      <c r="K53" s="48">
        <f t="shared" si="15"/>
        <v>0.65</v>
      </c>
      <c r="L53" s="48">
        <f t="shared" si="16"/>
        <v>0.35</v>
      </c>
      <c r="M53" s="48">
        <f t="shared" si="17"/>
        <v>0</v>
      </c>
      <c r="N53" s="43">
        <f t="shared" si="18"/>
        <v>0.35</v>
      </c>
      <c r="O53" s="43">
        <f t="shared" si="12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I54" s="39">
        <v>10</v>
      </c>
      <c r="J54" s="48">
        <f t="shared" si="14"/>
        <v>0</v>
      </c>
      <c r="K54" s="48">
        <f t="shared" si="15"/>
        <v>0.57999999999999996</v>
      </c>
      <c r="L54" s="48">
        <f t="shared" si="16"/>
        <v>0.32</v>
      </c>
      <c r="M54" s="48">
        <f t="shared" si="17"/>
        <v>0.1</v>
      </c>
      <c r="N54" s="43">
        <f t="shared" si="18"/>
        <v>0.37</v>
      </c>
      <c r="O54" s="43">
        <f t="shared" si="12"/>
        <v>-8.6602540378443879E-2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I55" s="39">
        <v>10</v>
      </c>
      <c r="J55" s="48">
        <f t="shared" si="14"/>
        <v>0</v>
      </c>
      <c r="K55" s="48">
        <f t="shared" si="15"/>
        <v>0.45</v>
      </c>
      <c r="L55" s="48">
        <f t="shared" si="16"/>
        <v>0.45</v>
      </c>
      <c r="M55" s="48">
        <f t="shared" si="17"/>
        <v>0.1</v>
      </c>
      <c r="N55" s="43">
        <f t="shared" si="18"/>
        <v>0.5</v>
      </c>
      <c r="O55" s="43">
        <f t="shared" si="12"/>
        <v>-8.6602540378443879E-2</v>
      </c>
    </row>
    <row r="56" spans="5:15" x14ac:dyDescent="0.2">
      <c r="E56" s="35">
        <v>17</v>
      </c>
      <c r="F56" s="53">
        <v>0</v>
      </c>
      <c r="G56" s="53">
        <v>20</v>
      </c>
      <c r="H56" s="53">
        <v>20</v>
      </c>
      <c r="I56" s="39">
        <v>60</v>
      </c>
      <c r="J56" s="48">
        <f t="shared" si="14"/>
        <v>0</v>
      </c>
      <c r="K56" s="48">
        <f t="shared" si="15"/>
        <v>0.2</v>
      </c>
      <c r="L56" s="48">
        <f t="shared" si="16"/>
        <v>0.2</v>
      </c>
      <c r="M56" s="48">
        <f t="shared" si="17"/>
        <v>0.6</v>
      </c>
      <c r="N56" s="43">
        <f t="shared" si="18"/>
        <v>0.5</v>
      </c>
      <c r="O56" s="43">
        <f t="shared" si="12"/>
        <v>-0.51961524227066325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I57" s="39">
        <v>0</v>
      </c>
      <c r="J57" s="48">
        <f t="shared" si="14"/>
        <v>0</v>
      </c>
      <c r="K57" s="48">
        <f t="shared" si="15"/>
        <v>0.65</v>
      </c>
      <c r="L57" s="48">
        <f t="shared" si="16"/>
        <v>0.35</v>
      </c>
      <c r="M57" s="48">
        <f t="shared" si="17"/>
        <v>0</v>
      </c>
      <c r="N57" s="43">
        <f t="shared" si="18"/>
        <v>0.35</v>
      </c>
      <c r="O57" s="43">
        <f t="shared" si="12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I58" s="39">
        <v>0</v>
      </c>
      <c r="J58" s="48">
        <f>$F58/($F58+$G58+$H58)</f>
        <v>0.2</v>
      </c>
      <c r="K58" s="48">
        <f t="shared" si="15"/>
        <v>0.52</v>
      </c>
      <c r="L58" s="48">
        <f t="shared" si="16"/>
        <v>0.28000000000000003</v>
      </c>
      <c r="M58" s="48">
        <f t="shared" si="17"/>
        <v>0</v>
      </c>
      <c r="N58" s="43">
        <f t="shared" si="18"/>
        <v>0.38</v>
      </c>
      <c r="O58" s="43">
        <f t="shared" si="12"/>
        <v>0.17320508075688776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B60"/>
  <sheetViews>
    <sheetView topLeftCell="D1" zoomScale="115" zoomScaleNormal="115" workbookViewId="0">
      <selection activeCell="X38" sqref="X38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2677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60</v>
      </c>
      <c r="G37" s="53">
        <v>4</v>
      </c>
      <c r="H37" s="53">
        <v>36</v>
      </c>
      <c r="J37" s="48">
        <f t="shared" si="6"/>
        <v>0.6</v>
      </c>
      <c r="K37" s="48">
        <f t="shared" si="7"/>
        <v>0.04</v>
      </c>
      <c r="L37" s="48">
        <f t="shared" si="8"/>
        <v>0.36</v>
      </c>
      <c r="M37" s="48">
        <f t="shared" si="9"/>
        <v>0</v>
      </c>
      <c r="N37" s="43">
        <f t="shared" si="10"/>
        <v>0.65999999999999992</v>
      </c>
      <c r="O37" s="43">
        <f t="shared" si="11"/>
        <v>0.51961524227066325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35</v>
      </c>
      <c r="H38" s="53">
        <v>65</v>
      </c>
      <c r="J38" s="48">
        <f t="shared" si="6"/>
        <v>0</v>
      </c>
      <c r="K38" s="48">
        <f t="shared" si="7"/>
        <v>0.35</v>
      </c>
      <c r="L38" s="48">
        <f t="shared" si="8"/>
        <v>0.65</v>
      </c>
      <c r="M38" s="48">
        <f t="shared" si="9"/>
        <v>0</v>
      </c>
      <c r="N38" s="43">
        <f t="shared" si="10"/>
        <v>0.65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60</v>
      </c>
      <c r="G39" s="53">
        <v>14</v>
      </c>
      <c r="H39" s="53">
        <v>26</v>
      </c>
      <c r="J39" s="48">
        <f t="shared" si="6"/>
        <v>0.6</v>
      </c>
      <c r="K39" s="48">
        <f t="shared" si="7"/>
        <v>0.14000000000000001</v>
      </c>
      <c r="L39" s="48">
        <f t="shared" si="8"/>
        <v>0.26</v>
      </c>
      <c r="M39" s="48">
        <f t="shared" si="9"/>
        <v>0</v>
      </c>
      <c r="N39" s="43">
        <f t="shared" si="10"/>
        <v>0.56000000000000005</v>
      </c>
      <c r="O39" s="43">
        <f t="shared" si="11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0</v>
      </c>
      <c r="G40" s="53">
        <v>35</v>
      </c>
      <c r="H40" s="53">
        <v>65</v>
      </c>
      <c r="J40" s="48">
        <f t="shared" si="6"/>
        <v>0</v>
      </c>
      <c r="K40" s="48">
        <f t="shared" si="7"/>
        <v>0.35</v>
      </c>
      <c r="L40" s="48">
        <f t="shared" si="8"/>
        <v>0.65</v>
      </c>
      <c r="M40" s="48">
        <f t="shared" si="9"/>
        <v>0</v>
      </c>
      <c r="N40" s="43">
        <f t="shared" si="10"/>
        <v>0.65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20</v>
      </c>
      <c r="G41" s="53">
        <v>52</v>
      </c>
      <c r="H41" s="53">
        <v>28</v>
      </c>
      <c r="J41" s="48">
        <f t="shared" si="6"/>
        <v>0.2</v>
      </c>
      <c r="K41" s="48">
        <f t="shared" si="7"/>
        <v>0.52</v>
      </c>
      <c r="L41" s="48">
        <f t="shared" si="8"/>
        <v>0.28000000000000003</v>
      </c>
      <c r="M41" s="48">
        <f t="shared" si="9"/>
        <v>0</v>
      </c>
      <c r="N41" s="43">
        <f t="shared" si="10"/>
        <v>0.38</v>
      </c>
      <c r="O41" s="43">
        <f t="shared" si="11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60</v>
      </c>
      <c r="G42" s="53">
        <v>26</v>
      </c>
      <c r="H42" s="53">
        <v>14</v>
      </c>
      <c r="J42" s="48">
        <f t="shared" si="6"/>
        <v>0.6</v>
      </c>
      <c r="K42" s="48">
        <f t="shared" si="7"/>
        <v>0.26</v>
      </c>
      <c r="L42" s="48">
        <f t="shared" si="8"/>
        <v>0.14000000000000001</v>
      </c>
      <c r="M42" s="48">
        <f t="shared" si="9"/>
        <v>0</v>
      </c>
      <c r="N42" s="43">
        <f t="shared" si="10"/>
        <v>0.44</v>
      </c>
      <c r="O42" s="43">
        <f t="shared" si="11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0.6</v>
      </c>
      <c r="K43" s="48">
        <f>IF(OR(I43=0,I43=""),$G42/($F42+$G42+$H42),$G42/($I43+$G42+$H42))</f>
        <v>0.26</v>
      </c>
      <c r="L43" s="48">
        <f>IF(OR(I43=0,I43=""),$H42/($F42+$G42+$H42),$H42/($I43+$G42+$H42))</f>
        <v>0.14000000000000001</v>
      </c>
      <c r="M43" s="48">
        <f>$I43/($I43+$G42+$H42)</f>
        <v>0</v>
      </c>
      <c r="N43" s="43">
        <f t="shared" si="10"/>
        <v>0.44</v>
      </c>
      <c r="O43" s="43">
        <f t="shared" si="11"/>
        <v>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B60"/>
  <sheetViews>
    <sheetView topLeftCell="D1" zoomScale="115" zoomScaleNormal="115" workbookViewId="0">
      <selection activeCell="AA38" sqref="AA38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2674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10</v>
      </c>
      <c r="G37" s="53">
        <v>90</v>
      </c>
      <c r="H37" s="53">
        <v>0</v>
      </c>
      <c r="J37" s="48">
        <f t="shared" si="6"/>
        <v>0.1</v>
      </c>
      <c r="K37" s="48">
        <f t="shared" si="7"/>
        <v>0.9</v>
      </c>
      <c r="L37" s="48">
        <f t="shared" si="8"/>
        <v>0</v>
      </c>
      <c r="M37" s="48">
        <f t="shared" si="9"/>
        <v>0</v>
      </c>
      <c r="N37" s="43">
        <f t="shared" si="10"/>
        <v>0.05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90</v>
      </c>
      <c r="H38" s="53">
        <v>10</v>
      </c>
      <c r="J38" s="48">
        <f t="shared" si="6"/>
        <v>0</v>
      </c>
      <c r="K38" s="48">
        <f t="shared" si="7"/>
        <v>0.9</v>
      </c>
      <c r="L38" s="48">
        <f t="shared" si="8"/>
        <v>0.1</v>
      </c>
      <c r="M38" s="48">
        <f t="shared" si="9"/>
        <v>0</v>
      </c>
      <c r="N38" s="43">
        <f t="shared" si="10"/>
        <v>0.1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10</v>
      </c>
      <c r="G39" s="53">
        <v>0</v>
      </c>
      <c r="H39" s="53">
        <v>90</v>
      </c>
      <c r="J39" s="48">
        <f t="shared" si="6"/>
        <v>0.1</v>
      </c>
      <c r="K39" s="48">
        <f t="shared" si="7"/>
        <v>0</v>
      </c>
      <c r="L39" s="48">
        <f t="shared" si="8"/>
        <v>0.9</v>
      </c>
      <c r="M39" s="48">
        <f t="shared" si="9"/>
        <v>0</v>
      </c>
      <c r="N39" s="43">
        <f t="shared" si="10"/>
        <v>0.95000000000000007</v>
      </c>
      <c r="O39" s="43">
        <f t="shared" si="11"/>
        <v>8.6602540378443879E-2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0</v>
      </c>
      <c r="G40" s="53">
        <v>10</v>
      </c>
      <c r="H40" s="53">
        <v>90</v>
      </c>
      <c r="J40" s="48">
        <f t="shared" si="6"/>
        <v>0</v>
      </c>
      <c r="K40" s="48">
        <f t="shared" si="7"/>
        <v>0.1</v>
      </c>
      <c r="L40" s="48">
        <f t="shared" si="8"/>
        <v>0.9</v>
      </c>
      <c r="M40" s="48">
        <f t="shared" si="9"/>
        <v>0</v>
      </c>
      <c r="N40" s="43">
        <f t="shared" si="10"/>
        <v>0.9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0</v>
      </c>
      <c r="G41" s="53">
        <v>50</v>
      </c>
      <c r="H41" s="53">
        <v>50</v>
      </c>
      <c r="J41" s="48">
        <f t="shared" si="6"/>
        <v>0</v>
      </c>
      <c r="K41" s="48">
        <f t="shared" si="7"/>
        <v>0.5</v>
      </c>
      <c r="L41" s="48">
        <f t="shared" si="8"/>
        <v>0.5</v>
      </c>
      <c r="M41" s="48">
        <f t="shared" si="9"/>
        <v>0</v>
      </c>
      <c r="N41" s="43">
        <f t="shared" si="10"/>
        <v>0.5</v>
      </c>
      <c r="O41" s="43">
        <f t="shared" si="11"/>
        <v>0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10</v>
      </c>
      <c r="G42" s="53">
        <v>45</v>
      </c>
      <c r="H42" s="53">
        <v>45</v>
      </c>
      <c r="J42" s="48">
        <f t="shared" si="6"/>
        <v>0.1</v>
      </c>
      <c r="K42" s="48">
        <f t="shared" si="7"/>
        <v>0.45</v>
      </c>
      <c r="L42" s="48">
        <f t="shared" si="8"/>
        <v>0.45</v>
      </c>
      <c r="M42" s="48">
        <f t="shared" si="9"/>
        <v>0</v>
      </c>
      <c r="N42" s="43">
        <f t="shared" si="10"/>
        <v>0.5</v>
      </c>
      <c r="O42" s="43">
        <f t="shared" si="11"/>
        <v>8.6602540378443879E-2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0.1</v>
      </c>
      <c r="K43" s="48">
        <f>IF(OR(I43=0,I43=""),$G42/($F42+$G42+$H42),$G42/($I43+$G42+$H42))</f>
        <v>0.45</v>
      </c>
      <c r="L43" s="48">
        <f>IF(OR(I43=0,I43=""),$H42/($F42+$G42+$H42),$H42/($I43+$G42+$H42))</f>
        <v>0.45</v>
      </c>
      <c r="M43" s="48">
        <f>$I43/($I43+$G42+$H42)</f>
        <v>0</v>
      </c>
      <c r="N43" s="43">
        <f t="shared" si="10"/>
        <v>0.5</v>
      </c>
      <c r="O43" s="43">
        <f t="shared" si="11"/>
        <v>8.6602540378443879E-2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60"/>
  <sheetViews>
    <sheetView topLeftCell="D1" zoomScale="115" zoomScaleNormal="115" workbookViewId="0">
      <selection activeCell="T51" sqref="T51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2678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3" si="4">IFERROR(IF(M4=0,(0.5*J4+L4),(0.5*M4+L4)),"")</f>
        <v/>
      </c>
      <c r="O4" s="43" t="str">
        <f t="shared" ref="O4:O23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>IFERROR(IF(M24=0,(0.5*J24+L24),(0.5*M24+L24)),"")</f>
        <v/>
      </c>
      <c r="O24" s="43" t="str">
        <f>IFERROR(IF(M24=0,J24*(COS(30*PI()/180)), -M24*(COS(30*PI()/180))),"")</f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90</v>
      </c>
      <c r="G37" s="53">
        <v>5</v>
      </c>
      <c r="H37" s="53">
        <v>5</v>
      </c>
      <c r="J37" s="48">
        <f t="shared" si="6"/>
        <v>0.9</v>
      </c>
      <c r="K37" s="48">
        <f t="shared" si="7"/>
        <v>0.05</v>
      </c>
      <c r="L37" s="48">
        <f t="shared" si="8"/>
        <v>0.05</v>
      </c>
      <c r="M37" s="48">
        <f t="shared" si="9"/>
        <v>0</v>
      </c>
      <c r="N37" s="43">
        <f t="shared" si="10"/>
        <v>0.5</v>
      </c>
      <c r="O37" s="43">
        <f t="shared" si="11"/>
        <v>0.77942286340599487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10</v>
      </c>
      <c r="G38" s="53">
        <v>45</v>
      </c>
      <c r="H38" s="53">
        <v>45</v>
      </c>
      <c r="J38" s="48">
        <f t="shared" si="6"/>
        <v>0.1</v>
      </c>
      <c r="K38" s="48">
        <f t="shared" si="7"/>
        <v>0.45</v>
      </c>
      <c r="L38" s="48">
        <f t="shared" si="8"/>
        <v>0.45</v>
      </c>
      <c r="M38" s="48">
        <f t="shared" si="9"/>
        <v>0</v>
      </c>
      <c r="N38" s="43">
        <f t="shared" si="10"/>
        <v>0.5</v>
      </c>
      <c r="O38" s="43">
        <f t="shared" si="11"/>
        <v>8.6602540378443879E-2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10</v>
      </c>
      <c r="G39" s="53">
        <v>0</v>
      </c>
      <c r="H39" s="53">
        <v>90</v>
      </c>
      <c r="J39" s="48">
        <f t="shared" si="6"/>
        <v>0.1</v>
      </c>
      <c r="K39" s="48">
        <f t="shared" si="7"/>
        <v>0</v>
      </c>
      <c r="L39" s="48">
        <f t="shared" si="8"/>
        <v>0.9</v>
      </c>
      <c r="M39" s="48">
        <f t="shared" si="9"/>
        <v>0</v>
      </c>
      <c r="N39" s="43">
        <f t="shared" si="10"/>
        <v>0.95000000000000007</v>
      </c>
      <c r="O39" s="43">
        <f t="shared" si="11"/>
        <v>8.6602540378443879E-2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0</v>
      </c>
      <c r="G40" s="53">
        <v>10</v>
      </c>
      <c r="H40" s="53">
        <v>90</v>
      </c>
      <c r="J40" s="48">
        <f t="shared" si="6"/>
        <v>0</v>
      </c>
      <c r="K40" s="48">
        <f t="shared" si="7"/>
        <v>0.1</v>
      </c>
      <c r="L40" s="48">
        <f t="shared" si="8"/>
        <v>0.9</v>
      </c>
      <c r="M40" s="48">
        <f t="shared" si="9"/>
        <v>0</v>
      </c>
      <c r="N40" s="43">
        <f t="shared" si="10"/>
        <v>0.9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20</v>
      </c>
      <c r="G41" s="53">
        <v>52</v>
      </c>
      <c r="H41" s="53">
        <v>28</v>
      </c>
      <c r="J41" s="48">
        <f t="shared" si="6"/>
        <v>0.2</v>
      </c>
      <c r="K41" s="48">
        <f t="shared" si="7"/>
        <v>0.52</v>
      </c>
      <c r="L41" s="48">
        <f t="shared" si="8"/>
        <v>0.28000000000000003</v>
      </c>
      <c r="M41" s="48">
        <f t="shared" si="9"/>
        <v>0</v>
      </c>
      <c r="N41" s="43">
        <f t="shared" si="10"/>
        <v>0.38</v>
      </c>
      <c r="O41" s="43">
        <f t="shared" si="11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60</v>
      </c>
      <c r="G42" s="53">
        <v>26</v>
      </c>
      <c r="H42" s="53">
        <v>14</v>
      </c>
      <c r="J42" s="48">
        <f t="shared" si="6"/>
        <v>0.6</v>
      </c>
      <c r="K42" s="48">
        <f t="shared" si="7"/>
        <v>0.26</v>
      </c>
      <c r="L42" s="48">
        <f t="shared" si="8"/>
        <v>0.14000000000000001</v>
      </c>
      <c r="M42" s="48">
        <f t="shared" si="9"/>
        <v>0</v>
      </c>
      <c r="N42" s="43">
        <f t="shared" si="10"/>
        <v>0.44</v>
      </c>
      <c r="O42" s="43">
        <f t="shared" si="11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0.6</v>
      </c>
      <c r="K43" s="48">
        <f>IF(OR(I43=0,I43=""),$G42/($F42+$G42+$H42),$G42/($I43+$G42+$H42))</f>
        <v>0.26</v>
      </c>
      <c r="L43" s="48">
        <f>IF(OR(I43=0,I43=""),$H42/($F42+$G42+$H42),$H42/($I43+$G42+$H42))</f>
        <v>0.14000000000000001</v>
      </c>
      <c r="M43" s="48">
        <f>$I43/($I43+$G42+$H42)</f>
        <v>0</v>
      </c>
      <c r="N43" s="43">
        <f t="shared" si="10"/>
        <v>0.44</v>
      </c>
      <c r="O43" s="43">
        <f t="shared" si="11"/>
        <v>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B60"/>
  <sheetViews>
    <sheetView topLeftCell="D1" zoomScale="115" zoomScaleNormal="115" workbookViewId="0">
      <selection activeCell="N3" sqref="N3:O24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2677</v>
      </c>
      <c r="G2" s="54" t="s">
        <v>2679</v>
      </c>
      <c r="H2" s="54" t="s">
        <v>2678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>
        <f t="shared" ref="M3:M24" si="3">IFERROR($I3/($I3+$G3+$H3),0)</f>
        <v>0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>
        <f t="shared" si="3"/>
        <v>0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>
        <f t="shared" si="3"/>
        <v>0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>
        <f t="shared" si="3"/>
        <v>0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>
        <f t="shared" si="3"/>
        <v>0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>
        <f t="shared" si="3"/>
        <v>0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>
        <f t="shared" si="3"/>
        <v>0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>
        <f t="shared" si="3"/>
        <v>0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>
        <f t="shared" si="3"/>
        <v>0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>
        <f t="shared" si="3"/>
        <v>0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>
        <f t="shared" si="3"/>
        <v>0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>
        <f t="shared" si="3"/>
        <v>0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>
        <f t="shared" si="3"/>
        <v>0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>
        <f t="shared" si="3"/>
        <v>0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>
        <f t="shared" si="3"/>
        <v>0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>
        <f t="shared" si="3"/>
        <v>0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>
        <f t="shared" si="3"/>
        <v>0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>
        <f t="shared" si="3"/>
        <v>0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>
        <f t="shared" si="3"/>
        <v>0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>
        <f t="shared" si="3"/>
        <v>0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>
        <f t="shared" si="3"/>
        <v>0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>
        <f t="shared" si="3"/>
        <v>0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57" si="6">$F25/($F25+$G25+$H25)</f>
        <v>0.9</v>
      </c>
      <c r="K25" s="48">
        <f t="shared" ref="K25:K58" si="7">IF(OR(I25=0,I25=""),$G25/($F25+$G25+$H25),$G25/($I25+$G25+$H25))</f>
        <v>0.1</v>
      </c>
      <c r="L25" s="48">
        <f t="shared" ref="L25:L58" si="8">IF(OR(I25=0,I25=""),$H25/($F25+$G25+$H25),$H25/($I25+$G25+$H25))</f>
        <v>0</v>
      </c>
      <c r="M25" s="48">
        <f t="shared" ref="M25:M40" si="9">IFERROR($I25/($I25+$G25+$H25),0)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10</v>
      </c>
      <c r="G27" s="53">
        <v>90</v>
      </c>
      <c r="H27" s="53">
        <v>0</v>
      </c>
      <c r="J27" s="48">
        <f t="shared" si="6"/>
        <v>0.1</v>
      </c>
      <c r="K27" s="48">
        <f t="shared" si="7"/>
        <v>0.9</v>
      </c>
      <c r="L27" s="48">
        <f t="shared" si="8"/>
        <v>0</v>
      </c>
      <c r="M27" s="48">
        <f t="shared" si="9"/>
        <v>0</v>
      </c>
      <c r="N27" s="43">
        <f t="shared" si="10"/>
        <v>0.05</v>
      </c>
      <c r="O27" s="43">
        <f t="shared" si="11"/>
        <v>8.6602540378443879E-2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0</v>
      </c>
      <c r="G28" s="53">
        <v>90</v>
      </c>
      <c r="H28" s="53">
        <v>10</v>
      </c>
      <c r="J28" s="48">
        <f t="shared" si="6"/>
        <v>0</v>
      </c>
      <c r="K28" s="48">
        <f t="shared" si="7"/>
        <v>0.9</v>
      </c>
      <c r="L28" s="48">
        <f t="shared" si="8"/>
        <v>0.1</v>
      </c>
      <c r="M28" s="48">
        <f t="shared" si="9"/>
        <v>0</v>
      </c>
      <c r="N28" s="43">
        <f t="shared" si="10"/>
        <v>0.1</v>
      </c>
      <c r="O28" s="43">
        <f t="shared" si="11"/>
        <v>0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40</v>
      </c>
      <c r="G29" s="53">
        <v>0</v>
      </c>
      <c r="H29" s="53">
        <v>60</v>
      </c>
      <c r="J29" s="48">
        <f t="shared" si="6"/>
        <v>0.4</v>
      </c>
      <c r="K29" s="48">
        <f t="shared" si="7"/>
        <v>0</v>
      </c>
      <c r="L29" s="48">
        <f t="shared" si="8"/>
        <v>0.6</v>
      </c>
      <c r="M29" s="48">
        <f t="shared" si="9"/>
        <v>0</v>
      </c>
      <c r="N29" s="43">
        <f t="shared" si="10"/>
        <v>0.8</v>
      </c>
      <c r="O29" s="43">
        <f t="shared" si="11"/>
        <v>0.34641016151377552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40</v>
      </c>
      <c r="G30" s="53">
        <v>60</v>
      </c>
      <c r="H30" s="53">
        <v>0</v>
      </c>
      <c r="J30" s="48">
        <f t="shared" si="6"/>
        <v>0.4</v>
      </c>
      <c r="K30" s="48">
        <f t="shared" si="7"/>
        <v>0.6</v>
      </c>
      <c r="L30" s="48">
        <f t="shared" si="8"/>
        <v>0</v>
      </c>
      <c r="M30" s="48">
        <f t="shared" si="9"/>
        <v>0</v>
      </c>
      <c r="N30" s="43">
        <f t="shared" si="10"/>
        <v>0.2</v>
      </c>
      <c r="O30" s="43">
        <f t="shared" si="11"/>
        <v>0.34641016151377552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5</v>
      </c>
      <c r="G31" s="53">
        <v>90</v>
      </c>
      <c r="H31" s="53">
        <v>5</v>
      </c>
      <c r="J31" s="48">
        <f t="shared" si="6"/>
        <v>0.05</v>
      </c>
      <c r="K31" s="48">
        <f t="shared" si="7"/>
        <v>0.9</v>
      </c>
      <c r="L31" s="48">
        <f t="shared" si="8"/>
        <v>0.05</v>
      </c>
      <c r="M31" s="48">
        <f t="shared" si="9"/>
        <v>0</v>
      </c>
      <c r="N31" s="43">
        <f t="shared" si="10"/>
        <v>7.5000000000000011E-2</v>
      </c>
      <c r="O31" s="43">
        <f t="shared" si="11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5</v>
      </c>
      <c r="G32" s="53">
        <v>5</v>
      </c>
      <c r="H32" s="53">
        <v>90</v>
      </c>
      <c r="J32" s="48">
        <f t="shared" si="6"/>
        <v>0.05</v>
      </c>
      <c r="K32" s="48">
        <f t="shared" si="7"/>
        <v>0.05</v>
      </c>
      <c r="L32" s="48">
        <f t="shared" si="8"/>
        <v>0.9</v>
      </c>
      <c r="M32" s="48">
        <f t="shared" si="9"/>
        <v>0</v>
      </c>
      <c r="N32" s="43">
        <f t="shared" si="10"/>
        <v>0.92500000000000004</v>
      </c>
      <c r="O32" s="43">
        <f t="shared" si="11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5</v>
      </c>
      <c r="G33" s="53">
        <v>90</v>
      </c>
      <c r="H33" s="53">
        <v>5</v>
      </c>
      <c r="J33" s="48">
        <f t="shared" si="6"/>
        <v>0.05</v>
      </c>
      <c r="K33" s="48">
        <f t="shared" si="7"/>
        <v>0.9</v>
      </c>
      <c r="L33" s="48">
        <f t="shared" si="8"/>
        <v>0.05</v>
      </c>
      <c r="M33" s="48">
        <f t="shared" si="9"/>
        <v>0</v>
      </c>
      <c r="N33" s="43">
        <f t="shared" si="10"/>
        <v>7.5000000000000011E-2</v>
      </c>
      <c r="O33" s="43">
        <f t="shared" si="11"/>
        <v>4.330127018922194E-2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5</v>
      </c>
      <c r="G36" s="53">
        <v>5</v>
      </c>
      <c r="H36" s="53">
        <v>90</v>
      </c>
      <c r="J36" s="48">
        <f t="shared" si="6"/>
        <v>0.05</v>
      </c>
      <c r="K36" s="48">
        <f t="shared" si="7"/>
        <v>0.05</v>
      </c>
      <c r="L36" s="48">
        <f t="shared" si="8"/>
        <v>0.9</v>
      </c>
      <c r="M36" s="48">
        <f t="shared" si="9"/>
        <v>0</v>
      </c>
      <c r="N36" s="43">
        <f t="shared" si="10"/>
        <v>0.92500000000000004</v>
      </c>
      <c r="O36" s="43">
        <f t="shared" si="11"/>
        <v>4.330127018922194E-2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10</v>
      </c>
      <c r="G37" s="53">
        <v>0</v>
      </c>
      <c r="H37" s="53">
        <v>90</v>
      </c>
      <c r="J37" s="48">
        <f t="shared" si="6"/>
        <v>0.1</v>
      </c>
      <c r="K37" s="48">
        <f t="shared" si="7"/>
        <v>0</v>
      </c>
      <c r="L37" s="48">
        <f t="shared" si="8"/>
        <v>0.9</v>
      </c>
      <c r="M37" s="48">
        <f t="shared" si="9"/>
        <v>0</v>
      </c>
      <c r="N37" s="43">
        <f t="shared" si="10"/>
        <v>0.95000000000000007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10</v>
      </c>
      <c r="H38" s="53">
        <v>90</v>
      </c>
      <c r="J38" s="48">
        <f t="shared" si="6"/>
        <v>0</v>
      </c>
      <c r="K38" s="48">
        <f t="shared" si="7"/>
        <v>0.1</v>
      </c>
      <c r="L38" s="48">
        <f t="shared" si="8"/>
        <v>0.9</v>
      </c>
      <c r="M38" s="48">
        <f t="shared" si="9"/>
        <v>0</v>
      </c>
      <c r="N38" s="43">
        <f t="shared" si="10"/>
        <v>0.9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40</v>
      </c>
      <c r="G39" s="53">
        <v>0</v>
      </c>
      <c r="H39" s="53">
        <v>60</v>
      </c>
      <c r="J39" s="48">
        <f t="shared" si="6"/>
        <v>0.4</v>
      </c>
      <c r="K39" s="48">
        <f t="shared" si="7"/>
        <v>0</v>
      </c>
      <c r="L39" s="48">
        <f t="shared" si="8"/>
        <v>0.6</v>
      </c>
      <c r="M39" s="48">
        <f t="shared" si="9"/>
        <v>0</v>
      </c>
      <c r="N39" s="43">
        <f t="shared" si="10"/>
        <v>0.8</v>
      </c>
      <c r="O39" s="43">
        <f t="shared" si="11"/>
        <v>0.34641016151377552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40</v>
      </c>
      <c r="G40" s="53">
        <v>0</v>
      </c>
      <c r="H40" s="53">
        <v>60</v>
      </c>
      <c r="J40" s="48">
        <f t="shared" si="6"/>
        <v>0.4</v>
      </c>
      <c r="K40" s="48">
        <f t="shared" si="7"/>
        <v>0</v>
      </c>
      <c r="L40" s="48">
        <f t="shared" si="8"/>
        <v>0.6</v>
      </c>
      <c r="M40" s="48">
        <f t="shared" si="9"/>
        <v>0</v>
      </c>
      <c r="N40" s="43">
        <v>1.1499999999999999</v>
      </c>
      <c r="O40" s="43">
        <f t="shared" si="11"/>
        <v>0.34641016151377552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100</v>
      </c>
      <c r="G41" s="53">
        <v>0</v>
      </c>
      <c r="H41" s="53">
        <v>0</v>
      </c>
      <c r="J41" s="48">
        <f t="shared" si="6"/>
        <v>1</v>
      </c>
      <c r="K41" s="48">
        <f t="shared" si="7"/>
        <v>0</v>
      </c>
      <c r="L41" s="48">
        <f t="shared" si="8"/>
        <v>0</v>
      </c>
      <c r="M41" s="48">
        <f>IFERROR($I41/($I41+$G41+$H41),0)</f>
        <v>0</v>
      </c>
      <c r="N41" s="43">
        <f t="shared" si="10"/>
        <v>0.5</v>
      </c>
      <c r="O41" s="43">
        <f t="shared" si="11"/>
        <v>0.86602540378443871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100</v>
      </c>
      <c r="G42" s="53">
        <v>0</v>
      </c>
      <c r="H42" s="53">
        <v>0</v>
      </c>
      <c r="J42" s="48">
        <f t="shared" si="6"/>
        <v>1</v>
      </c>
      <c r="K42" s="48">
        <f t="shared" si="7"/>
        <v>0</v>
      </c>
      <c r="L42" s="48">
        <f t="shared" si="8"/>
        <v>0</v>
      </c>
      <c r="M42" s="48">
        <f t="shared" ref="M42:M59" si="12">IFERROR($I42/($I42+$G42+$H42),0)</f>
        <v>0</v>
      </c>
      <c r="N42" s="43">
        <v>1.1499999999999999</v>
      </c>
      <c r="O42" s="43">
        <f t="shared" si="11"/>
        <v>0.86602540378443871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100</v>
      </c>
      <c r="J43" s="48">
        <f t="shared" si="6"/>
        <v>0</v>
      </c>
      <c r="K43" s="48">
        <f t="shared" si="7"/>
        <v>0</v>
      </c>
      <c r="L43" s="48">
        <f t="shared" si="8"/>
        <v>1</v>
      </c>
      <c r="M43" s="48">
        <f t="shared" si="12"/>
        <v>0</v>
      </c>
      <c r="N43" s="43">
        <f t="shared" si="10"/>
        <v>1</v>
      </c>
      <c r="O43" s="43">
        <f t="shared" si="11"/>
        <v>0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0</v>
      </c>
      <c r="H44" s="53">
        <v>100</v>
      </c>
      <c r="J44" s="48">
        <f t="shared" si="6"/>
        <v>0</v>
      </c>
      <c r="K44" s="48">
        <f t="shared" si="7"/>
        <v>0</v>
      </c>
      <c r="L44" s="48">
        <f t="shared" si="8"/>
        <v>1</v>
      </c>
      <c r="M44" s="48">
        <f t="shared" si="12"/>
        <v>0</v>
      </c>
      <c r="N44" s="43">
        <v>1.1499999999999999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J45" s="48">
        <f t="shared" si="6"/>
        <v>0</v>
      </c>
      <c r="K45" s="48">
        <f t="shared" si="7"/>
        <v>1</v>
      </c>
      <c r="L45" s="48">
        <f t="shared" si="8"/>
        <v>0</v>
      </c>
      <c r="M45" s="48">
        <f t="shared" si="12"/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J46" s="48">
        <f t="shared" si="6"/>
        <v>0</v>
      </c>
      <c r="K46" s="48">
        <f t="shared" si="7"/>
        <v>0</v>
      </c>
      <c r="L46" s="48">
        <f t="shared" si="8"/>
        <v>1</v>
      </c>
      <c r="M46" s="48">
        <f t="shared" si="12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6"/>
        <v>0</v>
      </c>
      <c r="K47" s="48">
        <f t="shared" si="7"/>
        <v>0.9</v>
      </c>
      <c r="L47" s="48">
        <f t="shared" si="8"/>
        <v>0.1</v>
      </c>
      <c r="M47" s="48">
        <f t="shared" si="12"/>
        <v>0</v>
      </c>
      <c r="N47" s="43">
        <f t="shared" ref="N47:N58" si="13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6"/>
        <v>0</v>
      </c>
      <c r="K48" s="48">
        <f t="shared" si="7"/>
        <v>0.9</v>
      </c>
      <c r="L48" s="48">
        <f t="shared" si="8"/>
        <v>0.1</v>
      </c>
      <c r="M48" s="48">
        <f t="shared" si="12"/>
        <v>0</v>
      </c>
      <c r="N48" s="43">
        <f t="shared" si="13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6"/>
        <v>0</v>
      </c>
      <c r="K49" s="48">
        <f t="shared" si="7"/>
        <v>0.1</v>
      </c>
      <c r="L49" s="48">
        <f t="shared" si="8"/>
        <v>0.9</v>
      </c>
      <c r="M49" s="48">
        <f t="shared" si="12"/>
        <v>0</v>
      </c>
      <c r="N49" s="43">
        <f t="shared" si="13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6"/>
        <v>0</v>
      </c>
      <c r="K50" s="48">
        <f t="shared" si="7"/>
        <v>0.1</v>
      </c>
      <c r="L50" s="48">
        <f t="shared" si="8"/>
        <v>0.9</v>
      </c>
      <c r="M50" s="48">
        <f t="shared" si="12"/>
        <v>0</v>
      </c>
      <c r="N50" s="43">
        <f t="shared" si="13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6"/>
        <v>0</v>
      </c>
      <c r="K51" s="48">
        <f t="shared" si="7"/>
        <v>0.35</v>
      </c>
      <c r="L51" s="48">
        <f t="shared" si="8"/>
        <v>0.65</v>
      </c>
      <c r="M51" s="48">
        <f t="shared" si="12"/>
        <v>0</v>
      </c>
      <c r="N51" s="43">
        <f t="shared" si="13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6"/>
        <v>0</v>
      </c>
      <c r="K52" s="48">
        <f t="shared" si="7"/>
        <v>0.35555555555555557</v>
      </c>
      <c r="L52" s="48">
        <f t="shared" si="8"/>
        <v>0.64444444444444449</v>
      </c>
      <c r="M52" s="48">
        <f t="shared" si="12"/>
        <v>0</v>
      </c>
      <c r="N52" s="43">
        <f t="shared" si="13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6"/>
        <v>0</v>
      </c>
      <c r="K53" s="48">
        <f t="shared" si="7"/>
        <v>0.65</v>
      </c>
      <c r="L53" s="48">
        <f t="shared" si="8"/>
        <v>0.35</v>
      </c>
      <c r="M53" s="48">
        <f t="shared" si="12"/>
        <v>0</v>
      </c>
      <c r="N53" s="43">
        <f t="shared" si="13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6"/>
        <v>0</v>
      </c>
      <c r="K54" s="48">
        <f t="shared" si="7"/>
        <v>0.64444444444444449</v>
      </c>
      <c r="L54" s="48">
        <f t="shared" si="8"/>
        <v>0.35555555555555557</v>
      </c>
      <c r="M54" s="48">
        <f t="shared" si="12"/>
        <v>0</v>
      </c>
      <c r="N54" s="43">
        <f t="shared" si="13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6"/>
        <v>0</v>
      </c>
      <c r="K55" s="48">
        <f t="shared" si="7"/>
        <v>0.5</v>
      </c>
      <c r="L55" s="48">
        <f t="shared" si="8"/>
        <v>0.5</v>
      </c>
      <c r="M55" s="48">
        <f t="shared" si="12"/>
        <v>0</v>
      </c>
      <c r="N55" s="43">
        <f t="shared" si="13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6"/>
        <v>0</v>
      </c>
      <c r="K56" s="48">
        <f t="shared" si="7"/>
        <v>0.5</v>
      </c>
      <c r="L56" s="48">
        <f t="shared" si="8"/>
        <v>0.5</v>
      </c>
      <c r="M56" s="48">
        <f t="shared" si="12"/>
        <v>0</v>
      </c>
      <c r="N56" s="43">
        <f t="shared" si="13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6"/>
        <v>0</v>
      </c>
      <c r="K57" s="48">
        <f t="shared" si="7"/>
        <v>0.65</v>
      </c>
      <c r="L57" s="48">
        <f t="shared" si="8"/>
        <v>0.35</v>
      </c>
      <c r="M57" s="48">
        <f t="shared" si="12"/>
        <v>0</v>
      </c>
      <c r="N57" s="43">
        <f t="shared" si="13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7"/>
        <v>0.52</v>
      </c>
      <c r="L58" s="48">
        <f t="shared" si="8"/>
        <v>0.28000000000000003</v>
      </c>
      <c r="M58" s="48">
        <f t="shared" si="12"/>
        <v>0</v>
      </c>
      <c r="N58" s="43">
        <f t="shared" si="13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  <c r="M59" s="48">
        <f t="shared" si="12"/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B60"/>
  <sheetViews>
    <sheetView zoomScale="115" zoomScaleNormal="115" workbookViewId="0">
      <selection activeCell="W42" sqref="W42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2677</v>
      </c>
      <c r="G2" s="54" t="s">
        <v>2679</v>
      </c>
      <c r="H2" s="54" t="s">
        <v>2674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>
        <f t="shared" ref="M3:M24" si="3">IFERROR($I3/($I3+$G3+$H3),0)</f>
        <v>0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>
        <f t="shared" si="3"/>
        <v>0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>
        <f t="shared" si="3"/>
        <v>0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>
        <f t="shared" si="3"/>
        <v>0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>
        <f t="shared" si="3"/>
        <v>0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>
        <f t="shared" si="3"/>
        <v>0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>
        <f t="shared" si="3"/>
        <v>0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>
        <f t="shared" si="3"/>
        <v>0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>
        <f t="shared" si="3"/>
        <v>0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>
        <f t="shared" si="3"/>
        <v>0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>
        <f t="shared" si="3"/>
        <v>0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>
        <f t="shared" si="3"/>
        <v>0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>
        <f t="shared" si="3"/>
        <v>0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>
        <f t="shared" si="3"/>
        <v>0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>
        <f t="shared" si="3"/>
        <v>0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>
        <f t="shared" si="3"/>
        <v>0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>
        <f t="shared" si="3"/>
        <v>0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>
        <f t="shared" si="3"/>
        <v>0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>
        <f t="shared" si="3"/>
        <v>0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>
        <f t="shared" si="3"/>
        <v>0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>
        <f t="shared" si="3"/>
        <v>0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>
        <f t="shared" si="3"/>
        <v>0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57" si="6">$F25/($F25+$G25+$H25)</f>
        <v>0.9</v>
      </c>
      <c r="K25" s="48">
        <f t="shared" ref="K25:K58" si="7">IF(OR(I25=0,I25=""),$G25/($F25+$G25+$H25),$G25/($I25+$G25+$H25))</f>
        <v>0.1</v>
      </c>
      <c r="L25" s="48">
        <f t="shared" ref="L25:L58" si="8">IF(OR(I25=0,I25=""),$H25/($F25+$G25+$H25),$H25/($I25+$G25+$H25))</f>
        <v>0</v>
      </c>
      <c r="M25" s="48">
        <f t="shared" ref="M25:M40" si="9">IFERROR($I25/($I25+$G25+$H25),0)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10</v>
      </c>
      <c r="G27" s="53">
        <v>90</v>
      </c>
      <c r="H27" s="53">
        <v>0</v>
      </c>
      <c r="J27" s="48">
        <f t="shared" si="6"/>
        <v>0.1</v>
      </c>
      <c r="K27" s="48">
        <f t="shared" si="7"/>
        <v>0.9</v>
      </c>
      <c r="L27" s="48">
        <f t="shared" si="8"/>
        <v>0</v>
      </c>
      <c r="M27" s="48">
        <f t="shared" si="9"/>
        <v>0</v>
      </c>
      <c r="N27" s="43">
        <f t="shared" si="10"/>
        <v>0.05</v>
      </c>
      <c r="O27" s="43">
        <f t="shared" si="11"/>
        <v>8.6602540378443879E-2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0</v>
      </c>
      <c r="G28" s="53">
        <v>90</v>
      </c>
      <c r="H28" s="53">
        <v>10</v>
      </c>
      <c r="J28" s="48">
        <f t="shared" si="6"/>
        <v>0</v>
      </c>
      <c r="K28" s="48">
        <f t="shared" si="7"/>
        <v>0.9</v>
      </c>
      <c r="L28" s="48">
        <f t="shared" si="8"/>
        <v>0.1</v>
      </c>
      <c r="M28" s="48">
        <f t="shared" si="9"/>
        <v>0</v>
      </c>
      <c r="N28" s="43">
        <f t="shared" si="10"/>
        <v>0.1</v>
      </c>
      <c r="O28" s="43">
        <f t="shared" si="11"/>
        <v>0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40</v>
      </c>
      <c r="G29" s="53">
        <v>0</v>
      </c>
      <c r="H29" s="53">
        <v>60</v>
      </c>
      <c r="J29" s="48">
        <f t="shared" si="6"/>
        <v>0.4</v>
      </c>
      <c r="K29" s="48">
        <f t="shared" si="7"/>
        <v>0</v>
      </c>
      <c r="L29" s="48">
        <f t="shared" si="8"/>
        <v>0.6</v>
      </c>
      <c r="M29" s="48">
        <f t="shared" si="9"/>
        <v>0</v>
      </c>
      <c r="N29" s="43">
        <f t="shared" si="10"/>
        <v>0.8</v>
      </c>
      <c r="O29" s="43">
        <f t="shared" si="11"/>
        <v>0.34641016151377552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40</v>
      </c>
      <c r="G30" s="53">
        <v>60</v>
      </c>
      <c r="H30" s="53">
        <v>0</v>
      </c>
      <c r="J30" s="48">
        <f t="shared" si="6"/>
        <v>0.4</v>
      </c>
      <c r="K30" s="48">
        <f t="shared" si="7"/>
        <v>0.6</v>
      </c>
      <c r="L30" s="48">
        <f t="shared" si="8"/>
        <v>0</v>
      </c>
      <c r="M30" s="48">
        <f t="shared" si="9"/>
        <v>0</v>
      </c>
      <c r="N30" s="43">
        <f t="shared" si="10"/>
        <v>0.2</v>
      </c>
      <c r="O30" s="43">
        <f t="shared" si="11"/>
        <v>0.34641016151377552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5</v>
      </c>
      <c r="G31" s="53">
        <v>90</v>
      </c>
      <c r="H31" s="53">
        <v>5</v>
      </c>
      <c r="J31" s="48">
        <f t="shared" si="6"/>
        <v>0.05</v>
      </c>
      <c r="K31" s="48">
        <f t="shared" si="7"/>
        <v>0.9</v>
      </c>
      <c r="L31" s="48">
        <f t="shared" si="8"/>
        <v>0.05</v>
      </c>
      <c r="M31" s="48">
        <f t="shared" si="9"/>
        <v>0</v>
      </c>
      <c r="N31" s="43">
        <f t="shared" si="10"/>
        <v>7.5000000000000011E-2</v>
      </c>
      <c r="O31" s="43">
        <f t="shared" si="11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5</v>
      </c>
      <c r="G32" s="53">
        <v>5</v>
      </c>
      <c r="H32" s="53">
        <v>90</v>
      </c>
      <c r="J32" s="48">
        <f t="shared" si="6"/>
        <v>0.05</v>
      </c>
      <c r="K32" s="48">
        <f t="shared" si="7"/>
        <v>0.05</v>
      </c>
      <c r="L32" s="48">
        <f t="shared" si="8"/>
        <v>0.9</v>
      </c>
      <c r="M32" s="48">
        <f t="shared" si="9"/>
        <v>0</v>
      </c>
      <c r="N32" s="43">
        <f t="shared" si="10"/>
        <v>0.92500000000000004</v>
      </c>
      <c r="O32" s="43">
        <f t="shared" si="11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5</v>
      </c>
      <c r="G33" s="53">
        <v>90</v>
      </c>
      <c r="H33" s="53">
        <v>5</v>
      </c>
      <c r="J33" s="48">
        <f t="shared" si="6"/>
        <v>0.05</v>
      </c>
      <c r="K33" s="48">
        <f t="shared" si="7"/>
        <v>0.9</v>
      </c>
      <c r="L33" s="48">
        <f t="shared" si="8"/>
        <v>0.05</v>
      </c>
      <c r="M33" s="48">
        <f t="shared" si="9"/>
        <v>0</v>
      </c>
      <c r="N33" s="43">
        <f t="shared" si="10"/>
        <v>7.5000000000000011E-2</v>
      </c>
      <c r="O33" s="43">
        <f t="shared" si="11"/>
        <v>4.330127018922194E-2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5</v>
      </c>
      <c r="G36" s="53">
        <v>5</v>
      </c>
      <c r="H36" s="53">
        <v>90</v>
      </c>
      <c r="J36" s="48">
        <f t="shared" si="6"/>
        <v>0.05</v>
      </c>
      <c r="K36" s="48">
        <f t="shared" si="7"/>
        <v>0.05</v>
      </c>
      <c r="L36" s="48">
        <f t="shared" si="8"/>
        <v>0.9</v>
      </c>
      <c r="M36" s="48">
        <f t="shared" si="9"/>
        <v>0</v>
      </c>
      <c r="N36" s="43">
        <f t="shared" si="10"/>
        <v>0.92500000000000004</v>
      </c>
      <c r="O36" s="43">
        <f t="shared" si="11"/>
        <v>4.330127018922194E-2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10</v>
      </c>
      <c r="G37" s="53">
        <v>0</v>
      </c>
      <c r="H37" s="53">
        <v>90</v>
      </c>
      <c r="J37" s="48">
        <f t="shared" si="6"/>
        <v>0.1</v>
      </c>
      <c r="K37" s="48">
        <f t="shared" si="7"/>
        <v>0</v>
      </c>
      <c r="L37" s="48">
        <f t="shared" si="8"/>
        <v>0.9</v>
      </c>
      <c r="M37" s="48">
        <f t="shared" si="9"/>
        <v>0</v>
      </c>
      <c r="N37" s="43">
        <f t="shared" si="10"/>
        <v>0.95000000000000007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10</v>
      </c>
      <c r="H38" s="53">
        <v>90</v>
      </c>
      <c r="J38" s="48">
        <f t="shared" si="6"/>
        <v>0</v>
      </c>
      <c r="K38" s="48">
        <f t="shared" si="7"/>
        <v>0.1</v>
      </c>
      <c r="L38" s="48">
        <f t="shared" si="8"/>
        <v>0.9</v>
      </c>
      <c r="M38" s="48">
        <f t="shared" si="9"/>
        <v>0</v>
      </c>
      <c r="N38" s="43">
        <f t="shared" si="10"/>
        <v>0.9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40</v>
      </c>
      <c r="G39" s="53">
        <v>0</v>
      </c>
      <c r="H39" s="53">
        <v>60</v>
      </c>
      <c r="J39" s="48">
        <f t="shared" si="6"/>
        <v>0.4</v>
      </c>
      <c r="K39" s="48">
        <f t="shared" si="7"/>
        <v>0</v>
      </c>
      <c r="L39" s="48">
        <f t="shared" si="8"/>
        <v>0.6</v>
      </c>
      <c r="M39" s="48">
        <f t="shared" si="9"/>
        <v>0</v>
      </c>
      <c r="N39" s="43">
        <f t="shared" si="10"/>
        <v>0.8</v>
      </c>
      <c r="O39" s="43">
        <f t="shared" si="11"/>
        <v>0.34641016151377552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40</v>
      </c>
      <c r="G40" s="53">
        <v>0</v>
      </c>
      <c r="H40" s="53">
        <v>60</v>
      </c>
      <c r="J40" s="48">
        <f t="shared" si="6"/>
        <v>0.4</v>
      </c>
      <c r="K40" s="48">
        <f t="shared" si="7"/>
        <v>0</v>
      </c>
      <c r="L40" s="48">
        <f t="shared" si="8"/>
        <v>0.6</v>
      </c>
      <c r="M40" s="48">
        <f t="shared" si="9"/>
        <v>0</v>
      </c>
      <c r="N40" s="43">
        <v>1.1499999999999999</v>
      </c>
      <c r="O40" s="43">
        <f t="shared" si="11"/>
        <v>0.34641016151377552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100</v>
      </c>
      <c r="G41" s="53">
        <v>0</v>
      </c>
      <c r="H41" s="53">
        <v>0</v>
      </c>
      <c r="J41" s="48">
        <f t="shared" si="6"/>
        <v>1</v>
      </c>
      <c r="K41" s="48">
        <f t="shared" si="7"/>
        <v>0</v>
      </c>
      <c r="L41" s="48">
        <f t="shared" si="8"/>
        <v>0</v>
      </c>
      <c r="M41" s="48">
        <f>IFERROR($I41/($I41+$G41+$H41),0)</f>
        <v>0</v>
      </c>
      <c r="N41" s="43">
        <f t="shared" si="10"/>
        <v>0.5</v>
      </c>
      <c r="O41" s="43">
        <f t="shared" si="11"/>
        <v>0.86602540378443871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100</v>
      </c>
      <c r="G42" s="53">
        <v>0</v>
      </c>
      <c r="H42" s="53">
        <v>0</v>
      </c>
      <c r="J42" s="48">
        <f t="shared" si="6"/>
        <v>1</v>
      </c>
      <c r="K42" s="48">
        <f t="shared" si="7"/>
        <v>0</v>
      </c>
      <c r="L42" s="48">
        <f t="shared" si="8"/>
        <v>0</v>
      </c>
      <c r="M42" s="48">
        <f t="shared" ref="M42:M59" si="12">IFERROR($I42/($I42+$G42+$H42),0)</f>
        <v>0</v>
      </c>
      <c r="N42" s="43">
        <v>1.1499999999999999</v>
      </c>
      <c r="O42" s="43">
        <f t="shared" si="11"/>
        <v>0.86602540378443871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100</v>
      </c>
      <c r="J43" s="48">
        <f t="shared" si="6"/>
        <v>0</v>
      </c>
      <c r="K43" s="48">
        <f t="shared" si="7"/>
        <v>0</v>
      </c>
      <c r="L43" s="48">
        <f t="shared" si="8"/>
        <v>1</v>
      </c>
      <c r="M43" s="48">
        <f t="shared" si="12"/>
        <v>0</v>
      </c>
      <c r="N43" s="43">
        <f t="shared" si="10"/>
        <v>1</v>
      </c>
      <c r="O43" s="43">
        <f t="shared" si="11"/>
        <v>0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0</v>
      </c>
      <c r="H44" s="53">
        <v>100</v>
      </c>
      <c r="J44" s="48">
        <f t="shared" si="6"/>
        <v>0</v>
      </c>
      <c r="K44" s="48">
        <f t="shared" si="7"/>
        <v>0</v>
      </c>
      <c r="L44" s="48">
        <f t="shared" si="8"/>
        <v>1</v>
      </c>
      <c r="M44" s="48">
        <f t="shared" si="12"/>
        <v>0</v>
      </c>
      <c r="N44" s="43">
        <v>1.1499999999999999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40</v>
      </c>
      <c r="G45" s="53">
        <v>30</v>
      </c>
      <c r="H45" s="53">
        <v>30</v>
      </c>
      <c r="J45" s="48">
        <f t="shared" si="6"/>
        <v>0.4</v>
      </c>
      <c r="K45" s="48">
        <f t="shared" si="7"/>
        <v>0.3</v>
      </c>
      <c r="L45" s="48">
        <f t="shared" si="8"/>
        <v>0.3</v>
      </c>
      <c r="M45" s="48">
        <f t="shared" si="12"/>
        <v>0</v>
      </c>
      <c r="N45" s="43">
        <f t="shared" si="10"/>
        <v>0.5</v>
      </c>
      <c r="O45" s="43">
        <f t="shared" si="11"/>
        <v>0.34641016151377552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50</v>
      </c>
      <c r="H46" s="53">
        <v>50</v>
      </c>
      <c r="J46" s="48">
        <f t="shared" si="6"/>
        <v>0</v>
      </c>
      <c r="K46" s="48">
        <f t="shared" si="7"/>
        <v>0.5</v>
      </c>
      <c r="L46" s="48">
        <f t="shared" si="8"/>
        <v>0.5</v>
      </c>
      <c r="M46" s="48">
        <f t="shared" si="12"/>
        <v>0</v>
      </c>
      <c r="N46" s="43">
        <f>IF(M46=0,(0.5*J46+L46),(0.5*M46+L46))</f>
        <v>0.5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6"/>
        <v>0</v>
      </c>
      <c r="K47" s="48">
        <f t="shared" si="7"/>
        <v>0.9</v>
      </c>
      <c r="L47" s="48">
        <f t="shared" si="8"/>
        <v>0.1</v>
      </c>
      <c r="M47" s="48">
        <f t="shared" si="12"/>
        <v>0</v>
      </c>
      <c r="N47" s="43">
        <f t="shared" ref="N47:N58" si="13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6"/>
        <v>0</v>
      </c>
      <c r="K48" s="48">
        <f t="shared" si="7"/>
        <v>0.9</v>
      </c>
      <c r="L48" s="48">
        <f t="shared" si="8"/>
        <v>0.1</v>
      </c>
      <c r="M48" s="48">
        <f t="shared" si="12"/>
        <v>0</v>
      </c>
      <c r="N48" s="43">
        <f t="shared" si="13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6"/>
        <v>0</v>
      </c>
      <c r="K49" s="48">
        <f t="shared" si="7"/>
        <v>0.1</v>
      </c>
      <c r="L49" s="48">
        <f t="shared" si="8"/>
        <v>0.9</v>
      </c>
      <c r="M49" s="48">
        <f t="shared" si="12"/>
        <v>0</v>
      </c>
      <c r="N49" s="43">
        <f t="shared" si="13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6"/>
        <v>0</v>
      </c>
      <c r="K50" s="48">
        <f t="shared" si="7"/>
        <v>0.1</v>
      </c>
      <c r="L50" s="48">
        <f t="shared" si="8"/>
        <v>0.9</v>
      </c>
      <c r="M50" s="48">
        <f t="shared" si="12"/>
        <v>0</v>
      </c>
      <c r="N50" s="43">
        <f t="shared" si="13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6"/>
        <v>0</v>
      </c>
      <c r="K51" s="48">
        <f t="shared" si="7"/>
        <v>0.35</v>
      </c>
      <c r="L51" s="48">
        <f t="shared" si="8"/>
        <v>0.65</v>
      </c>
      <c r="M51" s="48">
        <f t="shared" si="12"/>
        <v>0</v>
      </c>
      <c r="N51" s="43">
        <f t="shared" si="13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6"/>
        <v>0</v>
      </c>
      <c r="K52" s="48">
        <f t="shared" si="7"/>
        <v>0.35555555555555557</v>
      </c>
      <c r="L52" s="48">
        <f t="shared" si="8"/>
        <v>0.64444444444444449</v>
      </c>
      <c r="M52" s="48">
        <f t="shared" si="12"/>
        <v>0</v>
      </c>
      <c r="N52" s="43">
        <f t="shared" si="13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6"/>
        <v>0</v>
      </c>
      <c r="K53" s="48">
        <f t="shared" si="7"/>
        <v>0.65</v>
      </c>
      <c r="L53" s="48">
        <f t="shared" si="8"/>
        <v>0.35</v>
      </c>
      <c r="M53" s="48">
        <f t="shared" si="12"/>
        <v>0</v>
      </c>
      <c r="N53" s="43">
        <f t="shared" si="13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6"/>
        <v>0</v>
      </c>
      <c r="K54" s="48">
        <f t="shared" si="7"/>
        <v>0.64444444444444449</v>
      </c>
      <c r="L54" s="48">
        <f t="shared" si="8"/>
        <v>0.35555555555555557</v>
      </c>
      <c r="M54" s="48">
        <f t="shared" si="12"/>
        <v>0</v>
      </c>
      <c r="N54" s="43">
        <f t="shared" si="13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6"/>
        <v>0</v>
      </c>
      <c r="K55" s="48">
        <f t="shared" si="7"/>
        <v>0.5</v>
      </c>
      <c r="L55" s="48">
        <f t="shared" si="8"/>
        <v>0.5</v>
      </c>
      <c r="M55" s="48">
        <f t="shared" si="12"/>
        <v>0</v>
      </c>
      <c r="N55" s="43">
        <f t="shared" si="13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6"/>
        <v>0</v>
      </c>
      <c r="K56" s="48">
        <f t="shared" si="7"/>
        <v>0.5</v>
      </c>
      <c r="L56" s="48">
        <f t="shared" si="8"/>
        <v>0.5</v>
      </c>
      <c r="M56" s="48">
        <f t="shared" si="12"/>
        <v>0</v>
      </c>
      <c r="N56" s="43">
        <f t="shared" si="13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6"/>
        <v>0</v>
      </c>
      <c r="K57" s="48">
        <f t="shared" si="7"/>
        <v>0.65</v>
      </c>
      <c r="L57" s="48">
        <f t="shared" si="8"/>
        <v>0.35</v>
      </c>
      <c r="M57" s="48">
        <f t="shared" si="12"/>
        <v>0</v>
      </c>
      <c r="N57" s="43">
        <f t="shared" si="13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7"/>
        <v>0.52</v>
      </c>
      <c r="L58" s="48">
        <f t="shared" si="8"/>
        <v>0.28000000000000003</v>
      </c>
      <c r="M58" s="48">
        <f t="shared" si="12"/>
        <v>0</v>
      </c>
      <c r="N58" s="43">
        <f t="shared" si="13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  <c r="M59" s="48">
        <f t="shared" si="12"/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148</vt:i4>
      </vt:variant>
    </vt:vector>
  </HeadingPairs>
  <TitlesOfParts>
    <vt:vector size="150" baseType="lpstr">
      <vt:lpstr>Validacao</vt:lpstr>
      <vt:lpstr>Ficha_Petrografica</vt:lpstr>
      <vt:lpstr>Amostra</vt:lpstr>
      <vt:lpstr>Armz</vt:lpstr>
      <vt:lpstr>Class</vt:lpstr>
      <vt:lpstr>Compl</vt:lpstr>
      <vt:lpstr>Cors1</vt:lpstr>
      <vt:lpstr>Cors10</vt:lpstr>
      <vt:lpstr>Cors11</vt:lpstr>
      <vt:lpstr>Cors2</vt:lpstr>
      <vt:lpstr>Cors3</vt:lpstr>
      <vt:lpstr>Cors4</vt:lpstr>
      <vt:lpstr>Cors5</vt:lpstr>
      <vt:lpstr>Cors6</vt:lpstr>
      <vt:lpstr>Cors7</vt:lpstr>
      <vt:lpstr>Cors8</vt:lpstr>
      <vt:lpstr>Cors9</vt:lpstr>
      <vt:lpstr>Data</vt:lpstr>
      <vt:lpstr>EstrutDef1</vt:lpstr>
      <vt:lpstr>EstrutDef2</vt:lpstr>
      <vt:lpstr>EstrutDef3</vt:lpstr>
      <vt:lpstr>EstrutDef4</vt:lpstr>
      <vt:lpstr>EstrutDef5</vt:lpstr>
      <vt:lpstr>Estrutura1</vt:lpstr>
      <vt:lpstr>Estrutura2</vt:lpstr>
      <vt:lpstr>Estrutura3</vt:lpstr>
      <vt:lpstr>Estrutura4</vt:lpstr>
      <vt:lpstr>Estrutura5</vt:lpstr>
      <vt:lpstr>FacMet1</vt:lpstr>
      <vt:lpstr>FacMet2</vt:lpstr>
      <vt:lpstr>FacMet3</vt:lpstr>
      <vt:lpstr>FacMet4</vt:lpstr>
      <vt:lpstr>FacMet5</vt:lpstr>
      <vt:lpstr>FotoMA</vt:lpstr>
      <vt:lpstr>FotoMINP1</vt:lpstr>
      <vt:lpstr>FotoMINP2</vt:lpstr>
      <vt:lpstr>FotoMINP3</vt:lpstr>
      <vt:lpstr>FotoMINP4</vt:lpstr>
      <vt:lpstr>FotoMINP5</vt:lpstr>
      <vt:lpstr>FotoMINP6</vt:lpstr>
      <vt:lpstr>FotoMINP7</vt:lpstr>
      <vt:lpstr>FotoMINP8</vt:lpstr>
      <vt:lpstr>FotoMINX1</vt:lpstr>
      <vt:lpstr>FotoMINX2</vt:lpstr>
      <vt:lpstr>FotoMINX3</vt:lpstr>
      <vt:lpstr>FotoMINX4</vt:lpstr>
      <vt:lpstr>FotoMINX5</vt:lpstr>
      <vt:lpstr>FotoMINX6</vt:lpstr>
      <vt:lpstr>FotoMINX7</vt:lpstr>
      <vt:lpstr>FotoMINX8</vt:lpstr>
      <vt:lpstr>Interp</vt:lpstr>
      <vt:lpstr>Lami</vt:lpstr>
      <vt:lpstr>Late</vt:lpstr>
      <vt:lpstr>LegNP1</vt:lpstr>
      <vt:lpstr>LegNP2</vt:lpstr>
      <vt:lpstr>LegNP3</vt:lpstr>
      <vt:lpstr>LegNP4</vt:lpstr>
      <vt:lpstr>LegNP5</vt:lpstr>
      <vt:lpstr>LegNP6</vt:lpstr>
      <vt:lpstr>LegNP7</vt:lpstr>
      <vt:lpstr>LegNP8</vt:lpstr>
      <vt:lpstr>LegNX1</vt:lpstr>
      <vt:lpstr>LegNX2</vt:lpstr>
      <vt:lpstr>LegNX3</vt:lpstr>
      <vt:lpstr>LegNX4</vt:lpstr>
      <vt:lpstr>LegNX5</vt:lpstr>
      <vt:lpstr>LegNX6</vt:lpstr>
      <vt:lpstr>LegNX7</vt:lpstr>
      <vt:lpstr>LegNX8</vt:lpstr>
      <vt:lpstr>Long</vt:lpstr>
      <vt:lpstr>Macro</vt:lpstr>
      <vt:lpstr>Mine1</vt:lpstr>
      <vt:lpstr>Mine10</vt:lpstr>
      <vt:lpstr>Mine11</vt:lpstr>
      <vt:lpstr>Mine2</vt:lpstr>
      <vt:lpstr>Mine3</vt:lpstr>
      <vt:lpstr>Mine4</vt:lpstr>
      <vt:lpstr>Mine5</vt:lpstr>
      <vt:lpstr>Mine6</vt:lpstr>
      <vt:lpstr>Mine7</vt:lpstr>
      <vt:lpstr>Mine8</vt:lpstr>
      <vt:lpstr>Mine9</vt:lpstr>
      <vt:lpstr>Nome</vt:lpstr>
      <vt:lpstr>nomeTab</vt:lpstr>
      <vt:lpstr>perc</vt:lpstr>
      <vt:lpstr>perc1</vt:lpstr>
      <vt:lpstr>perc10</vt:lpstr>
      <vt:lpstr>perc11</vt:lpstr>
      <vt:lpstr>perc2</vt:lpstr>
      <vt:lpstr>perc3</vt:lpstr>
      <vt:lpstr>perc4</vt:lpstr>
      <vt:lpstr>perc5</vt:lpstr>
      <vt:lpstr>perc6</vt:lpstr>
      <vt:lpstr>perc7</vt:lpstr>
      <vt:lpstr>perc8</vt:lpstr>
      <vt:lpstr>perc9</vt:lpstr>
      <vt:lpstr>Proj</vt:lpstr>
      <vt:lpstr>Prot</vt:lpstr>
      <vt:lpstr>TamMax1</vt:lpstr>
      <vt:lpstr>TamMax10</vt:lpstr>
      <vt:lpstr>TamMax11</vt:lpstr>
      <vt:lpstr>TamMax2</vt:lpstr>
      <vt:lpstr>TamMax3</vt:lpstr>
      <vt:lpstr>TamMax4</vt:lpstr>
      <vt:lpstr>TamMax5</vt:lpstr>
      <vt:lpstr>TamMax6</vt:lpstr>
      <vt:lpstr>TamMax7</vt:lpstr>
      <vt:lpstr>TamMax8</vt:lpstr>
      <vt:lpstr>TamMax9</vt:lpstr>
      <vt:lpstr>TamMed1</vt:lpstr>
      <vt:lpstr>TamMed10</vt:lpstr>
      <vt:lpstr>TamMed11</vt:lpstr>
      <vt:lpstr>TamMed2</vt:lpstr>
      <vt:lpstr>TamMed3</vt:lpstr>
      <vt:lpstr>TamMed4</vt:lpstr>
      <vt:lpstr>TamMed5</vt:lpstr>
      <vt:lpstr>TamMed6</vt:lpstr>
      <vt:lpstr>TamMed7</vt:lpstr>
      <vt:lpstr>TamMed8</vt:lpstr>
      <vt:lpstr>TamMed9</vt:lpstr>
      <vt:lpstr>TamMin1</vt:lpstr>
      <vt:lpstr>TamMin10</vt:lpstr>
      <vt:lpstr>TamMin11</vt:lpstr>
      <vt:lpstr>TamMin2</vt:lpstr>
      <vt:lpstr>TamMin3</vt:lpstr>
      <vt:lpstr>TamMin4</vt:lpstr>
      <vt:lpstr>TamMin5</vt:lpstr>
      <vt:lpstr>TamMin6</vt:lpstr>
      <vt:lpstr>TamMin7</vt:lpstr>
      <vt:lpstr>TamMin8</vt:lpstr>
      <vt:lpstr>TamMin9</vt:lpstr>
      <vt:lpstr>Textura1</vt:lpstr>
      <vt:lpstr>Textura2</vt:lpstr>
      <vt:lpstr>Textura3</vt:lpstr>
      <vt:lpstr>Textura4</vt:lpstr>
      <vt:lpstr>Textura5</vt:lpstr>
      <vt:lpstr>TipoMet1</vt:lpstr>
      <vt:lpstr>TipoMet2</vt:lpstr>
      <vt:lpstr>TipoMet3</vt:lpstr>
      <vt:lpstr>TipoMet4</vt:lpstr>
      <vt:lpstr>TipoMet5</vt:lpstr>
      <vt:lpstr>Topo</vt:lpstr>
      <vt:lpstr>TpSec</vt:lpstr>
      <vt:lpstr>Und</vt:lpstr>
      <vt:lpstr>unidade</vt:lpstr>
      <vt:lpstr>ZonaHid1</vt:lpstr>
      <vt:lpstr>ZonaHid2</vt:lpstr>
      <vt:lpstr>ZonaHid3</vt:lpstr>
      <vt:lpstr>ZonaHid4</vt:lpstr>
      <vt:lpstr>ZonaHid5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Martins Guerra Prado</dc:creator>
  <cp:lastModifiedBy>Elias Prado</cp:lastModifiedBy>
  <cp:lastPrinted>2016-02-29T23:25:06Z</cp:lastPrinted>
  <dcterms:created xsi:type="dcterms:W3CDTF">2016-01-25T12:03:50Z</dcterms:created>
  <dcterms:modified xsi:type="dcterms:W3CDTF">2019-10-03T13:24:52Z</dcterms:modified>
</cp:coreProperties>
</file>